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theus.ferreira.FUNASA\Downloads\Planilhas_AE2022\Planilha_Resumo_Abrangencia_2022\Planilha_Resumo_Abrangencia_2022\"/>
    </mc:Choice>
  </mc:AlternateContent>
  <xr:revisionPtr revIDLastSave="0" documentId="13_ncr:1_{D9FD9F7E-CB48-4578-9806-E4D69B15523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lanilha Resumo Inf. Abrangênc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Q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F26" i="1"/>
  <c r="Q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F33" i="1"/>
  <c r="Q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F40" i="1"/>
  <c r="Q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F47" i="1"/>
  <c r="Q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F49" i="1"/>
  <c r="Q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F50" i="1"/>
  <c r="Q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F51" i="1"/>
  <c r="Q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C51" i="1"/>
  <c r="DD51" i="1"/>
  <c r="DE51" i="1"/>
  <c r="DE54" i="1" s="1"/>
  <c r="DF51" i="1"/>
  <c r="DG51" i="1"/>
  <c r="DH51" i="1"/>
  <c r="DI51" i="1"/>
  <c r="DJ51" i="1"/>
  <c r="DK51" i="1"/>
  <c r="DL51" i="1"/>
  <c r="DM51" i="1"/>
  <c r="DN51" i="1"/>
  <c r="DO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F52" i="1"/>
  <c r="Q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F53" i="1"/>
  <c r="Q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F54" i="1"/>
  <c r="Q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C54" i="1"/>
  <c r="DD54" i="1"/>
  <c r="DF54" i="1"/>
  <c r="DG54" i="1"/>
  <c r="DH54" i="1"/>
  <c r="DI54" i="1"/>
  <c r="DJ54" i="1"/>
  <c r="DK54" i="1"/>
  <c r="DL54" i="1"/>
  <c r="DM54" i="1"/>
  <c r="DN54" i="1"/>
  <c r="DO54" i="1"/>
  <c r="EK54" i="1"/>
  <c r="EL54" i="1"/>
  <c r="EM54" i="1"/>
  <c r="EN54" i="1"/>
  <c r="EO54" i="1"/>
  <c r="EP54" i="1"/>
  <c r="EQ54" i="1"/>
  <c r="ER54" i="1"/>
  <c r="ES54" i="1"/>
  <c r="ET54" i="1"/>
  <c r="EU54" i="1"/>
  <c r="EV54" i="1"/>
</calcChain>
</file>

<file path=xl/sharedStrings.xml><?xml version="1.0" encoding="utf-8"?>
<sst xmlns="http://schemas.openxmlformats.org/spreadsheetml/2006/main" count="845" uniqueCount="349">
  <si>
    <t>MINISTÉRIO DAS CIDADES /  SECRETARIA NACIONAL DE SANEAMENTO AMBIENTAL</t>
  </si>
  <si>
    <t>SISTEMA NACIONAL DE INFORMAÇÕES SOBRE SANEAMENTO - SNIS</t>
  </si>
  <si>
    <t>Diagnóstico dos Serviços de Água e Esgotos - 2022</t>
  </si>
  <si>
    <t>TABELA COMPLETA DE INFORMAÇÕES</t>
  </si>
  <si>
    <t>Por ABRANGÊNCIA, segundo a totalização dos dados dos prestadores de serviços</t>
  </si>
  <si>
    <t/>
  </si>
  <si>
    <t>MUNICÍPIOS</t>
  </si>
  <si>
    <t>INFORMAÇÕES GERAIS</t>
  </si>
  <si>
    <t>INFORMAÇÕES FINANCEIRAS</t>
  </si>
  <si>
    <t>INFORMAÇÕES OPERACIONAIS - ÁGUA</t>
  </si>
  <si>
    <t>INFORMAÇÕES OPERACIONAIS - ESGOTOS</t>
  </si>
  <si>
    <t>INFORMAÇÕES SOBRE QUALIDADE</t>
  </si>
  <si>
    <t>INFORMAÇÕES SOBRE BALANÇO CONTÁBIL</t>
  </si>
  <si>
    <t>Região</t>
  </si>
  <si>
    <t>Quantidade de municípios atendidos</t>
  </si>
  <si>
    <t>ATENDIMENTO COM ÁGUA</t>
  </si>
  <si>
    <t>SITUAÇÃO DA DELEGAÇÃO - ÁGUA</t>
  </si>
  <si>
    <t>ATENDIMENTO COM ESGOTOS</t>
  </si>
  <si>
    <t>SITUAÇÃO DA DELEGAÇÃO - ESGOTO</t>
  </si>
  <si>
    <t>POPULAÇÃO RESIDENTE</t>
  </si>
  <si>
    <t>Quantidade total de empregados próprios</t>
  </si>
  <si>
    <t>RECEITAS OPERACIONAIS</t>
  </si>
  <si>
    <t>Arrecadação total</t>
  </si>
  <si>
    <t>Crédito de contas a receber</t>
  </si>
  <si>
    <t>DESPESAS TOTAIS COM OS SERVIÇOS (DTS)</t>
  </si>
  <si>
    <t>Serviço da dívida - Parcela 2 de 2 - Amortização</t>
  </si>
  <si>
    <t>Totais serviço da dívida</t>
  </si>
  <si>
    <t>INVESTIMENTOS CONTRATADOS PELO PRESTADOR DE SERVIÇOS</t>
  </si>
  <si>
    <t>INVESTIMENTOS CONTRATADOS PELA PREFEITURA MUNICIPAL</t>
  </si>
  <si>
    <t>INVESTIMENTOS CONTRATADOS PELO GOVERNO DO ESTADO</t>
  </si>
  <si>
    <t>POPULAÇÃO ATENDIDA</t>
  </si>
  <si>
    <t>QUANTIDADES DE LIGAÇÕES</t>
  </si>
  <si>
    <t>QUANTIDADES DE ECONOMIAS ATIVAS</t>
  </si>
  <si>
    <t>VOLUMES DE ÁGUA</t>
  </si>
  <si>
    <t>Extensão da rede</t>
  </si>
  <si>
    <t>Consumo total de energia elétrica</t>
  </si>
  <si>
    <t>QUANTIDADE DE ECONOMIAS ATIVAS</t>
  </si>
  <si>
    <t>VOLUMES DE ESGOTO</t>
  </si>
  <si>
    <t>Extensão da rede de esgoto</t>
  </si>
  <si>
    <t>Atendimento da portaria sobre qualidade da Água</t>
  </si>
  <si>
    <t>PARALISAÇÕES EM SISTEMAS DE ÁGUA</t>
  </si>
  <si>
    <t>INTERMITÊNCIAS EM SISTEMAS DE ÁGUA</t>
  </si>
  <si>
    <t>AMOSTRAS PARA ANÁLISE CLORO RESIDUAL</t>
  </si>
  <si>
    <t>AMOSTRAS PARA ANÁLISE TURBIDEZ</t>
  </si>
  <si>
    <t>AMOSTRAS PARA ANÁLISE COLIFORMES TOTAIS</t>
  </si>
  <si>
    <t>EXTRAVASAMENTOS DE ESGOTO</t>
  </si>
  <si>
    <t>RECLAMAÇÕES E SERVIÇOS EXECUTADOS</t>
  </si>
  <si>
    <t>Ativo circulante</t>
  </si>
  <si>
    <t>Ativo total</t>
  </si>
  <si>
    <t>Exigível a longo prazo</t>
  </si>
  <si>
    <t>Lucro líquido com depreciação</t>
  </si>
  <si>
    <t>Passivo circulante</t>
  </si>
  <si>
    <t>Patrimônio líquido</t>
  </si>
  <si>
    <t>Receita operacional</t>
  </si>
  <si>
    <t>Resultado de exercícios futuros</t>
  </si>
  <si>
    <t>Resultado operacional com depreciação</t>
  </si>
  <si>
    <t>Realizável a longo prazo</t>
  </si>
  <si>
    <t>Lucro líquido sem depreciação</t>
  </si>
  <si>
    <t>Resultado operacional sem depreciação</t>
  </si>
  <si>
    <t>Quantidade de municípios atendidos com abastecimento de água</t>
  </si>
  <si>
    <t>Aonde atende com abastecimento de água</t>
  </si>
  <si>
    <t>Quantidade de sedes municipais atendidas com abastecimento de água</t>
  </si>
  <si>
    <t>Quantidade localidades atendidas com abastecimento de água</t>
  </si>
  <si>
    <t>MUNICÍPIOS ATENDIDOS</t>
  </si>
  <si>
    <t>MUNICÍPIOS NÃO ATENDIDOS</t>
  </si>
  <si>
    <t>Ano de vencimento da delegação</t>
  </si>
  <si>
    <t>Quantidade de municípios atendidos com esgotamento sanitário</t>
  </si>
  <si>
    <t>Aonde atende com esgotamento sanitário</t>
  </si>
  <si>
    <t>Quantidade de sedes municipais atendidas com esgotamento sanitário</t>
  </si>
  <si>
    <t>Quantidade de localidades atendidas com esgotamento sanitário</t>
  </si>
  <si>
    <t>MUNICÍPIOS ATENDIDOS COM ÁGUA</t>
  </si>
  <si>
    <t>MUNICÍPIOS ATENDIDOS COM ESGOTOS</t>
  </si>
  <si>
    <t>Total (direta + indireta)</t>
  </si>
  <si>
    <t>DIRETA</t>
  </si>
  <si>
    <t>Indireta</t>
  </si>
  <si>
    <t>Total (DTS)</t>
  </si>
  <si>
    <t>DESPESAS DE EXPLORACÃO (DEX)</t>
  </si>
  <si>
    <t>SERVIÇO DA DÍVIDA - PARCELA 1 DE 2</t>
  </si>
  <si>
    <t>Depreciação, amortização e provisão</t>
  </si>
  <si>
    <t>Fiscais ou tributárias não incidentes na DEX</t>
  </si>
  <si>
    <t>Outras despesas</t>
  </si>
  <si>
    <t>SEGUNDO O DESTINO</t>
  </si>
  <si>
    <t>SEGUNDO A ORIGEM</t>
  </si>
  <si>
    <t>Total</t>
  </si>
  <si>
    <t>População total atendida com abastecimento de água</t>
  </si>
  <si>
    <t>População urbana atendida com abastecimento de água</t>
  </si>
  <si>
    <t>Total (ativas + inativas)</t>
  </si>
  <si>
    <t>Ativas</t>
  </si>
  <si>
    <t>Ativas micromedidas</t>
  </si>
  <si>
    <t>Total (ativas)</t>
  </si>
  <si>
    <t>Micromedidas</t>
  </si>
  <si>
    <t>Residenciais</t>
  </si>
  <si>
    <t>Residencias micromedidas</t>
  </si>
  <si>
    <t>Produzido</t>
  </si>
  <si>
    <t>Macromedido</t>
  </si>
  <si>
    <t>De serviço</t>
  </si>
  <si>
    <t>Tratada importado</t>
  </si>
  <si>
    <t>Bruta exportado</t>
  </si>
  <si>
    <t>Tratada exportado</t>
  </si>
  <si>
    <t>Tratado em ETA(s)</t>
  </si>
  <si>
    <t>Tratada por simples desinfecção</t>
  </si>
  <si>
    <t>Fluoretada</t>
  </si>
  <si>
    <t>Micromedido</t>
  </si>
  <si>
    <t>Consumido</t>
  </si>
  <si>
    <t>Faturado</t>
  </si>
  <si>
    <t>Micromedido nas economias residenciais ativas</t>
  </si>
  <si>
    <t>População total atendida com esgotamento sanitário</t>
  </si>
  <si>
    <t>População urbana atendida com esgotamento sanitário</t>
  </si>
  <si>
    <t>Total   (ativas)</t>
  </si>
  <si>
    <t>Coletado</t>
  </si>
  <si>
    <t>Tratado</t>
  </si>
  <si>
    <t>Bruto exportado</t>
  </si>
  <si>
    <t>Bruto exportado tratado nas instalações do importador</t>
  </si>
  <si>
    <t>Bruto importado</t>
  </si>
  <si>
    <t>Bruto importado tratado nas instalações do importador</t>
  </si>
  <si>
    <t>Paralisações</t>
  </si>
  <si>
    <t>Duração</t>
  </si>
  <si>
    <t>Economias ativas atingidas</t>
  </si>
  <si>
    <t>Interrupções</t>
  </si>
  <si>
    <t>Obrigatórias</t>
  </si>
  <si>
    <t>Analisadas</t>
  </si>
  <si>
    <t>Resultados fora do padrão</t>
  </si>
  <si>
    <t>Extravasamentos</t>
  </si>
  <si>
    <t>Reclamações ou solicitações de serviços</t>
  </si>
  <si>
    <t>Serviços executados</t>
  </si>
  <si>
    <t>Tempo total de execução dos serviços</t>
  </si>
  <si>
    <t>Com delegação em vigor</t>
  </si>
  <si>
    <t>Com delegação vencida</t>
  </si>
  <si>
    <t>Sem delegação</t>
  </si>
  <si>
    <t>População residente total, segundo o IBGE</t>
  </si>
  <si>
    <t>População residente urbana</t>
  </si>
  <si>
    <t>Água</t>
  </si>
  <si>
    <t>Esgoto</t>
  </si>
  <si>
    <t>Água Exportada</t>
  </si>
  <si>
    <t>Esgoto bruto importado</t>
  </si>
  <si>
    <t>Total (DEX)</t>
  </si>
  <si>
    <t>Pessoal próprio</t>
  </si>
  <si>
    <t>Produtos químicos</t>
  </si>
  <si>
    <t>Energia elétrica</t>
  </si>
  <si>
    <t>Serviços de terceiros</t>
  </si>
  <si>
    <t>Água importada (bruta ou tratada)</t>
  </si>
  <si>
    <t>Esgoto bruto exportado</t>
  </si>
  <si>
    <t>Fiscais ou tributárias computadas na DEX</t>
  </si>
  <si>
    <t>Outras despesas de exploração</t>
  </si>
  <si>
    <t>Juros e encargos</t>
  </si>
  <si>
    <t>Variação cambial</t>
  </si>
  <si>
    <t>Despesas Capitalizáveis</t>
  </si>
  <si>
    <t>Abastecimento de Água</t>
  </si>
  <si>
    <t>Esgotamento Sanitário</t>
  </si>
  <si>
    <t>Outros</t>
  </si>
  <si>
    <t>Próprios</t>
  </si>
  <si>
    <t>Onerosos</t>
  </si>
  <si>
    <t>Não onerosos</t>
  </si>
  <si>
    <t>-</t>
  </si>
  <si>
    <t>município</t>
  </si>
  <si>
    <t>sede</t>
  </si>
  <si>
    <t>localidade</t>
  </si>
  <si>
    <t>ano</t>
  </si>
  <si>
    <t>habitante</t>
  </si>
  <si>
    <t>empregados</t>
  </si>
  <si>
    <t>R$/ano</t>
  </si>
  <si>
    <t>ligação</t>
  </si>
  <si>
    <t>economia</t>
  </si>
  <si>
    <t>1.000 m³/ano</t>
  </si>
  <si>
    <t>km</t>
  </si>
  <si>
    <t>1.000 kWh/ano</t>
  </si>
  <si>
    <t>paralisação/ano</t>
  </si>
  <si>
    <t>hora/ano</t>
  </si>
  <si>
    <t>economia/ano</t>
  </si>
  <si>
    <t>interrupção/ano</t>
  </si>
  <si>
    <t>amostra/ano</t>
  </si>
  <si>
    <t>extravasamentos/ano</t>
  </si>
  <si>
    <t>reclamações/ano</t>
  </si>
  <si>
    <t>serviço/ano</t>
  </si>
  <si>
    <t>1.000 R$/ano</t>
  </si>
  <si>
    <t>GE005</t>
  </si>
  <si>
    <t>GE05a</t>
  </si>
  <si>
    <t>GE019</t>
  </si>
  <si>
    <t>GE008</t>
  </si>
  <si>
    <t>GE010</t>
  </si>
  <si>
    <t>GE001</t>
  </si>
  <si>
    <t>GE002</t>
  </si>
  <si>
    <t>GE003</t>
  </si>
  <si>
    <t>GE025</t>
  </si>
  <si>
    <t>GE026</t>
  </si>
  <si>
    <t>GE027</t>
  </si>
  <si>
    <t>GE017</t>
  </si>
  <si>
    <t>GE05b</t>
  </si>
  <si>
    <t>GE020</t>
  </si>
  <si>
    <t>GE009</t>
  </si>
  <si>
    <t>GE011</t>
  </si>
  <si>
    <t>GE014</t>
  </si>
  <si>
    <t>GE015</t>
  </si>
  <si>
    <t>GE016</t>
  </si>
  <si>
    <t>GE028</t>
  </si>
  <si>
    <t>GE029</t>
  </si>
  <si>
    <t>GE030</t>
  </si>
  <si>
    <t>GE018</t>
  </si>
  <si>
    <t>GE12a</t>
  </si>
  <si>
    <t>GE06a</t>
  </si>
  <si>
    <t>GE12b</t>
  </si>
  <si>
    <t>GE06b</t>
  </si>
  <si>
    <t>FN026</t>
  </si>
  <si>
    <t>FN005</t>
  </si>
  <si>
    <t>FN001</t>
  </si>
  <si>
    <t>FN002</t>
  </si>
  <si>
    <t>FN003</t>
  </si>
  <si>
    <t>FN007</t>
  </si>
  <si>
    <t>FN038</t>
  </si>
  <si>
    <t>FN004</t>
  </si>
  <si>
    <t>FN006</t>
  </si>
  <si>
    <t>FN008</t>
  </si>
  <si>
    <t>FN017</t>
  </si>
  <si>
    <t>FN015</t>
  </si>
  <si>
    <t>FN010</t>
  </si>
  <si>
    <t>FN011</t>
  </si>
  <si>
    <t>FN013</t>
  </si>
  <si>
    <t>FN014</t>
  </si>
  <si>
    <t>FN020</t>
  </si>
  <si>
    <t>FN039</t>
  </si>
  <si>
    <t>FN021</t>
  </si>
  <si>
    <t>FN027</t>
  </si>
  <si>
    <t>FN035</t>
  </si>
  <si>
    <t>FN036</t>
  </si>
  <si>
    <t>FN016</t>
  </si>
  <si>
    <t>FN019</t>
  </si>
  <si>
    <t>FN022</t>
  </si>
  <si>
    <t>FN028</t>
  </si>
  <si>
    <t>FN034</t>
  </si>
  <si>
    <t>FN037</t>
  </si>
  <si>
    <t>FN018</t>
  </si>
  <si>
    <t>FN023</t>
  </si>
  <si>
    <t>FN024</t>
  </si>
  <si>
    <t>FN025</t>
  </si>
  <si>
    <t>FN030</t>
  </si>
  <si>
    <t>FN031</t>
  </si>
  <si>
    <t>FN032</t>
  </si>
  <si>
    <t>FN033</t>
  </si>
  <si>
    <t>FN041</t>
  </si>
  <si>
    <t>FN042</t>
  </si>
  <si>
    <t>FN043</t>
  </si>
  <si>
    <t>FN044</t>
  </si>
  <si>
    <t>FN045</t>
  </si>
  <si>
    <t>FN046</t>
  </si>
  <si>
    <t>FN047</t>
  </si>
  <si>
    <t>FN048</t>
  </si>
  <si>
    <t>FN051</t>
  </si>
  <si>
    <t>FN052</t>
  </si>
  <si>
    <t>FN053</t>
  </si>
  <si>
    <t>FN054</t>
  </si>
  <si>
    <t>FN055</t>
  </si>
  <si>
    <t>FN056</t>
  </si>
  <si>
    <t>FN057</t>
  </si>
  <si>
    <t>FN058</t>
  </si>
  <si>
    <t>AG001</t>
  </si>
  <si>
    <t>AG026</t>
  </si>
  <si>
    <t>AG021</t>
  </si>
  <si>
    <t>AG002</t>
  </si>
  <si>
    <t>AG004</t>
  </si>
  <si>
    <t>AG003</t>
  </si>
  <si>
    <t>AG014</t>
  </si>
  <si>
    <t>AG013</t>
  </si>
  <si>
    <t>AG022</t>
  </si>
  <si>
    <t>AG006</t>
  </si>
  <si>
    <t>AG012</t>
  </si>
  <si>
    <t>AG024</t>
  </si>
  <si>
    <t>AG018</t>
  </si>
  <si>
    <t>AG017</t>
  </si>
  <si>
    <t>AG019</t>
  </si>
  <si>
    <t>AG007</t>
  </si>
  <si>
    <t>AG015</t>
  </si>
  <si>
    <t>AG027</t>
  </si>
  <si>
    <t>AG008</t>
  </si>
  <si>
    <t>AG010</t>
  </si>
  <si>
    <t>AG011</t>
  </si>
  <si>
    <t>AG020</t>
  </si>
  <si>
    <t>AG005</t>
  </si>
  <si>
    <t>AG028</t>
  </si>
  <si>
    <t>ES001</t>
  </si>
  <si>
    <t>ES026</t>
  </si>
  <si>
    <t>ES009</t>
  </si>
  <si>
    <t>ES002</t>
  </si>
  <si>
    <t>ES003</t>
  </si>
  <si>
    <t>ES008</t>
  </si>
  <si>
    <t>ES005</t>
  </si>
  <si>
    <t>ES006</t>
  </si>
  <si>
    <t>ES012</t>
  </si>
  <si>
    <t>ES015</t>
  </si>
  <si>
    <t>ES013</t>
  </si>
  <si>
    <t>ES014</t>
  </si>
  <si>
    <t>ES007</t>
  </si>
  <si>
    <t>ES004</t>
  </si>
  <si>
    <t>ES028</t>
  </si>
  <si>
    <t>QD001</t>
  </si>
  <si>
    <t>QD002</t>
  </si>
  <si>
    <t>QD003</t>
  </si>
  <si>
    <t>QD004</t>
  </si>
  <si>
    <t>QD021</t>
  </si>
  <si>
    <t>QD022</t>
  </si>
  <si>
    <t>QD015</t>
  </si>
  <si>
    <t>QD020</t>
  </si>
  <si>
    <t>QD006</t>
  </si>
  <si>
    <t>QD007</t>
  </si>
  <si>
    <t>QD019</t>
  </si>
  <si>
    <t>QD008</t>
  </si>
  <si>
    <t>QD009</t>
  </si>
  <si>
    <t>QD028</t>
  </si>
  <si>
    <t>QD026</t>
  </si>
  <si>
    <t>QD027</t>
  </si>
  <si>
    <t>QD011</t>
  </si>
  <si>
    <t>QD012</t>
  </si>
  <si>
    <t>QD023</t>
  </si>
  <si>
    <t>QD024</t>
  </si>
  <si>
    <t>QD025</t>
  </si>
  <si>
    <t>BL001</t>
  </si>
  <si>
    <t>BL002</t>
  </si>
  <si>
    <t>BL003</t>
  </si>
  <si>
    <t>BL004</t>
  </si>
  <si>
    <t>BL005</t>
  </si>
  <si>
    <t>BL006</t>
  </si>
  <si>
    <t>BL007</t>
  </si>
  <si>
    <t>BL008</t>
  </si>
  <si>
    <t>BL009</t>
  </si>
  <si>
    <t>BL010</t>
  </si>
  <si>
    <t>BL011</t>
  </si>
  <si>
    <t>BL012</t>
  </si>
  <si>
    <t>RE - PRESTADORES DE SERVIÇOS DE ABRANGÊNCIA REGIONAL</t>
  </si>
  <si>
    <t xml:space="preserve">Norte       </t>
  </si>
  <si>
    <t>Vide item 3 das Observações</t>
  </si>
  <si>
    <t xml:space="preserve">Nordeste    </t>
  </si>
  <si>
    <t xml:space="preserve">Sudeste     </t>
  </si>
  <si>
    <t xml:space="preserve">Sul         </t>
  </si>
  <si>
    <t>Centro-Oeste</t>
  </si>
  <si>
    <t>Total por grupo:</t>
  </si>
  <si>
    <t>null</t>
  </si>
  <si>
    <t>MR - PRESTADORES DE SERVIÇOS DE ABRANGÊNCIA MICRORREGIONAL</t>
  </si>
  <si>
    <t>LPU - PRESTADORES DE SERVIÇOS DE ABRANGÊNCIA LOCAL - Direito Público</t>
  </si>
  <si>
    <t>LPR - PRESTADORES DE SERVIÇOS DE ABRANGÊNCIA LOCAL - Direito Privado com Administração Pública</t>
  </si>
  <si>
    <t>LEP - PRESTADORES DE SERVIÇOS DE ABRANGÊNCIA LOCAL - Empresa Privada</t>
  </si>
  <si>
    <t>TOTALIZAÇÃO DE TODOS OS GRUPOS</t>
  </si>
  <si>
    <t>Norte</t>
  </si>
  <si>
    <t>Nordeste</t>
  </si>
  <si>
    <t>Sudeste</t>
  </si>
  <si>
    <t>Sul</t>
  </si>
  <si>
    <t>TOTALIZAÇÃO NACIONAL</t>
  </si>
  <si>
    <t>Observações:</t>
  </si>
  <si>
    <t>1) As informações e os indicadores calculados da planilha resumo utilizam a base agregada do SNIS, com exceção dos dados de qualidade, que utilizam a base desagregada.</t>
  </si>
  <si>
    <t>2) A consolidação das informações de população residente considera a base desagregada do SNIS. Os municípios atendidos por mais de um prestador têm a população residente contabilizada somente uma vez.</t>
  </si>
  <si>
    <t>3) Em 2022, o IBGE realizou o Censo Demográfico do Brasil. Até a data de divulgação do presente Diagnóstico, o Instituto não havia divulgado a população urbana residente. Por este motivo, a publicação do SNIS ano de referência 2022 não apresenta os dados de população urbana atendida e, por consequência, não calcula os respetivos índices de atendimento urbano.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</si>
</sst>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7"/>
      <color indexed="8"/>
      <name val="Arial"/>
      <family val="2"/>
    </font>
    <font>
      <sz val="10"/>
      <color indexed="8"/>
      <name val="SansSerif"/>
    </font>
    <font>
      <sz val="7"/>
      <color indexed="30"/>
      <name val="Arial"/>
      <family val="2"/>
    </font>
    <font>
      <b/>
      <sz val="10"/>
      <color indexed="10"/>
      <name val="Arial"/>
      <family val="2"/>
    </font>
    <font>
      <b/>
      <sz val="8"/>
      <color indexed="12"/>
      <name val="Arial"/>
      <family val="2"/>
    </font>
    <font>
      <b/>
      <sz val="7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 style="dotted">
        <color indexed="8"/>
      </right>
      <top style="dotted">
        <color indexed="8"/>
      </top>
      <bottom style="dotted">
        <color indexed="8"/>
      </bottom>
      <diagonal/>
    </border>
    <border>
      <left/>
      <right style="dotted">
        <color indexed="8"/>
      </right>
      <top/>
      <bottom style="dotted">
        <color indexed="8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4" fontId="1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top" wrapText="1"/>
    </xf>
    <xf numFmtId="0" fontId="7" fillId="0" borderId="0" xfId="0" applyFont="1"/>
    <xf numFmtId="0" fontId="8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X59"/>
  <sheetViews>
    <sheetView tabSelected="1" workbookViewId="0">
      <pane xSplit="1" ySplit="12" topLeftCell="B13" activePane="bottomRight" state="frozen"/>
      <selection pane="topRight"/>
      <selection pane="bottomLeft"/>
      <selection pane="bottomRight" sqref="A1:N1"/>
    </sheetView>
  </sheetViews>
  <sheetFormatPr defaultRowHeight="12.75"/>
  <cols>
    <col min="1" max="1" width="38.140625" customWidth="1"/>
    <col min="2" max="2" width="9.42578125" customWidth="1"/>
    <col min="3" max="3" width="9.7109375" customWidth="1"/>
    <col min="4" max="4" width="10.7109375" customWidth="1"/>
    <col min="5" max="12" width="10.5703125" customWidth="1"/>
    <col min="13" max="13" width="11.85546875" customWidth="1"/>
    <col min="14" max="14" width="9.7109375" customWidth="1"/>
    <col min="15" max="15" width="10.7109375" customWidth="1"/>
    <col min="16" max="23" width="10.5703125" customWidth="1"/>
    <col min="24" max="24" width="11.85546875" customWidth="1"/>
    <col min="25" max="26" width="12.42578125" customWidth="1"/>
    <col min="27" max="28" width="16.42578125" customWidth="1"/>
    <col min="29" max="29" width="8.85546875" customWidth="1"/>
    <col min="30" max="31" width="12.140625" customWidth="1"/>
    <col min="32" max="32" width="11.7109375" customWidth="1"/>
    <col min="33" max="33" width="11.5703125" customWidth="1"/>
    <col min="34" max="56" width="11.42578125" customWidth="1"/>
    <col min="57" max="108" width="10.85546875" customWidth="1"/>
    <col min="109" max="109" width="18.140625" customWidth="1"/>
    <col min="110" max="110" width="18" customWidth="1"/>
    <col min="111" max="119" width="10.85546875" customWidth="1"/>
    <col min="120" max="120" width="15" customWidth="1"/>
    <col min="121" max="126" width="10.140625" customWidth="1"/>
    <col min="127" max="129" width="13.42578125" customWidth="1"/>
    <col min="130" max="132" width="10.140625" customWidth="1"/>
    <col min="133" max="135" width="13.42578125" customWidth="1"/>
    <col min="136" max="136" width="16.85546875" customWidth="1"/>
    <col min="137" max="137" width="13.42578125" customWidth="1"/>
    <col min="138" max="152" width="10.140625" customWidth="1"/>
    <col min="153" max="154" width="8.85546875" hidden="1" customWidth="1"/>
  </cols>
  <sheetData>
    <row r="1" spans="1:153" ht="12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</row>
    <row r="2" spans="1:153" ht="12" customHeight="1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</row>
    <row r="3" spans="1:153" ht="12" customHeight="1">
      <c r="A3" s="36" t="s">
        <v>2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</row>
    <row r="4" spans="1:153" ht="12" customHeight="1">
      <c r="A4" s="37" t="s">
        <v>3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</row>
    <row r="5" spans="1:153" ht="18" customHeight="1">
      <c r="A5" s="38">
        <v>45327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</row>
    <row r="6" spans="1:153" ht="11.1" customHeight="1">
      <c r="A6" s="40" t="s">
        <v>4</v>
      </c>
      <c r="B6" s="40"/>
      <c r="C6" s="40"/>
      <c r="D6" s="40"/>
      <c r="E6" s="40"/>
      <c r="F6" s="40"/>
      <c r="G6" s="40"/>
      <c r="H6" s="40" t="s">
        <v>5</v>
      </c>
      <c r="I6" s="40"/>
      <c r="J6" s="40"/>
      <c r="K6" s="40"/>
      <c r="L6" s="40"/>
      <c r="M6" s="40"/>
      <c r="N6" s="4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</row>
    <row r="7" spans="1:153" ht="27.95" customHeight="1">
      <c r="A7" s="3" t="s">
        <v>6</v>
      </c>
      <c r="B7" s="30" t="s">
        <v>7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1" t="s">
        <v>8</v>
      </c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2" t="s">
        <v>9</v>
      </c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3" t="s">
        <v>10</v>
      </c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4" t="s">
        <v>11</v>
      </c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5" t="s">
        <v>12</v>
      </c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2"/>
    </row>
    <row r="8" spans="1:153" ht="12" customHeight="1">
      <c r="A8" s="41" t="s">
        <v>13</v>
      </c>
      <c r="B8" s="41" t="s">
        <v>14</v>
      </c>
      <c r="C8" s="41" t="s">
        <v>15</v>
      </c>
      <c r="D8" s="41"/>
      <c r="E8" s="41"/>
      <c r="F8" s="41"/>
      <c r="G8" s="41" t="s">
        <v>16</v>
      </c>
      <c r="H8" s="41"/>
      <c r="I8" s="41"/>
      <c r="J8" s="41"/>
      <c r="K8" s="41"/>
      <c r="L8" s="41"/>
      <c r="M8" s="41"/>
      <c r="N8" s="41" t="s">
        <v>17</v>
      </c>
      <c r="O8" s="41"/>
      <c r="P8" s="41"/>
      <c r="Q8" s="41"/>
      <c r="R8" s="41" t="s">
        <v>18</v>
      </c>
      <c r="S8" s="41"/>
      <c r="T8" s="41"/>
      <c r="U8" s="41"/>
      <c r="V8" s="41"/>
      <c r="W8" s="41"/>
      <c r="X8" s="41"/>
      <c r="Y8" s="41" t="s">
        <v>19</v>
      </c>
      <c r="Z8" s="41"/>
      <c r="AA8" s="41"/>
      <c r="AB8" s="41"/>
      <c r="AC8" s="41" t="s">
        <v>20</v>
      </c>
      <c r="AD8" s="42" t="s">
        <v>21</v>
      </c>
      <c r="AE8" s="42"/>
      <c r="AF8" s="42"/>
      <c r="AG8" s="42"/>
      <c r="AH8" s="42"/>
      <c r="AI8" s="42"/>
      <c r="AJ8" s="42"/>
      <c r="AK8" s="42" t="s">
        <v>22</v>
      </c>
      <c r="AL8" s="42" t="s">
        <v>23</v>
      </c>
      <c r="AM8" s="42" t="s">
        <v>24</v>
      </c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 t="s">
        <v>25</v>
      </c>
      <c r="BD8" s="42" t="s">
        <v>26</v>
      </c>
      <c r="BE8" s="42" t="s">
        <v>27</v>
      </c>
      <c r="BF8" s="42"/>
      <c r="BG8" s="42"/>
      <c r="BH8" s="42"/>
      <c r="BI8" s="42"/>
      <c r="BJ8" s="42"/>
      <c r="BK8" s="42"/>
      <c r="BL8" s="42"/>
      <c r="BM8" s="42" t="s">
        <v>28</v>
      </c>
      <c r="BN8" s="42"/>
      <c r="BO8" s="42"/>
      <c r="BP8" s="42"/>
      <c r="BQ8" s="42"/>
      <c r="BR8" s="42"/>
      <c r="BS8" s="42"/>
      <c r="BT8" s="42"/>
      <c r="BU8" s="42" t="s">
        <v>29</v>
      </c>
      <c r="BV8" s="42"/>
      <c r="BW8" s="42"/>
      <c r="BX8" s="42"/>
      <c r="BY8" s="42"/>
      <c r="BZ8" s="42"/>
      <c r="CA8" s="42"/>
      <c r="CB8" s="42"/>
      <c r="CC8" s="45" t="s">
        <v>30</v>
      </c>
      <c r="CD8" s="45"/>
      <c r="CE8" s="45" t="s">
        <v>31</v>
      </c>
      <c r="CF8" s="45"/>
      <c r="CG8" s="45"/>
      <c r="CH8" s="45" t="s">
        <v>32</v>
      </c>
      <c r="CI8" s="45"/>
      <c r="CJ8" s="45"/>
      <c r="CK8" s="45"/>
      <c r="CL8" s="45" t="s">
        <v>33</v>
      </c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 t="s">
        <v>34</v>
      </c>
      <c r="CZ8" s="45" t="s">
        <v>35</v>
      </c>
      <c r="DA8" s="46" t="s">
        <v>30</v>
      </c>
      <c r="DB8" s="46"/>
      <c r="DC8" s="46" t="s">
        <v>31</v>
      </c>
      <c r="DD8" s="46"/>
      <c r="DE8" s="46" t="s">
        <v>36</v>
      </c>
      <c r="DF8" s="46"/>
      <c r="DG8" s="46" t="s">
        <v>37</v>
      </c>
      <c r="DH8" s="46"/>
      <c r="DI8" s="46"/>
      <c r="DJ8" s="46"/>
      <c r="DK8" s="46"/>
      <c r="DL8" s="46"/>
      <c r="DM8" s="46"/>
      <c r="DN8" s="46" t="s">
        <v>38</v>
      </c>
      <c r="DO8" s="46" t="s">
        <v>35</v>
      </c>
      <c r="DP8" s="44" t="s">
        <v>39</v>
      </c>
      <c r="DQ8" s="44" t="s">
        <v>40</v>
      </c>
      <c r="DR8" s="44"/>
      <c r="DS8" s="44"/>
      <c r="DT8" s="44" t="s">
        <v>41</v>
      </c>
      <c r="DU8" s="44"/>
      <c r="DV8" s="44"/>
      <c r="DW8" s="44" t="s">
        <v>42</v>
      </c>
      <c r="DX8" s="44"/>
      <c r="DY8" s="44"/>
      <c r="DZ8" s="44" t="s">
        <v>43</v>
      </c>
      <c r="EA8" s="44"/>
      <c r="EB8" s="44"/>
      <c r="EC8" s="44" t="s">
        <v>44</v>
      </c>
      <c r="ED8" s="44"/>
      <c r="EE8" s="44"/>
      <c r="EF8" s="44" t="s">
        <v>45</v>
      </c>
      <c r="EG8" s="44"/>
      <c r="EH8" s="44" t="s">
        <v>46</v>
      </c>
      <c r="EI8" s="44"/>
      <c r="EJ8" s="44"/>
      <c r="EK8" s="43" t="s">
        <v>47</v>
      </c>
      <c r="EL8" s="43" t="s">
        <v>48</v>
      </c>
      <c r="EM8" s="43" t="s">
        <v>49</v>
      </c>
      <c r="EN8" s="43" t="s">
        <v>50</v>
      </c>
      <c r="EO8" s="43" t="s">
        <v>51</v>
      </c>
      <c r="EP8" s="43" t="s">
        <v>52</v>
      </c>
      <c r="EQ8" s="43" t="s">
        <v>53</v>
      </c>
      <c r="ER8" s="43" t="s">
        <v>54</v>
      </c>
      <c r="ES8" s="43" t="s">
        <v>55</v>
      </c>
      <c r="ET8" s="43" t="s">
        <v>56</v>
      </c>
      <c r="EU8" s="43" t="s">
        <v>57</v>
      </c>
      <c r="EV8" s="43" t="s">
        <v>58</v>
      </c>
      <c r="EW8" s="2"/>
    </row>
    <row r="9" spans="1:153" ht="12" customHeight="1">
      <c r="A9" s="41"/>
      <c r="B9" s="41"/>
      <c r="C9" s="41" t="s">
        <v>59</v>
      </c>
      <c r="D9" s="41" t="s">
        <v>60</v>
      </c>
      <c r="E9" s="41" t="s">
        <v>61</v>
      </c>
      <c r="F9" s="41" t="s">
        <v>62</v>
      </c>
      <c r="G9" s="41" t="s">
        <v>63</v>
      </c>
      <c r="H9" s="41"/>
      <c r="I9" s="41"/>
      <c r="J9" s="41" t="s">
        <v>64</v>
      </c>
      <c r="K9" s="41"/>
      <c r="L9" s="41"/>
      <c r="M9" s="41" t="s">
        <v>65</v>
      </c>
      <c r="N9" s="41" t="s">
        <v>66</v>
      </c>
      <c r="O9" s="41" t="s">
        <v>67</v>
      </c>
      <c r="P9" s="41" t="s">
        <v>68</v>
      </c>
      <c r="Q9" s="41" t="s">
        <v>69</v>
      </c>
      <c r="R9" s="41" t="s">
        <v>63</v>
      </c>
      <c r="S9" s="41"/>
      <c r="T9" s="41"/>
      <c r="U9" s="41" t="s">
        <v>64</v>
      </c>
      <c r="V9" s="41"/>
      <c r="W9" s="41"/>
      <c r="X9" s="41" t="s">
        <v>65</v>
      </c>
      <c r="Y9" s="41" t="s">
        <v>70</v>
      </c>
      <c r="Z9" s="41"/>
      <c r="AA9" s="41" t="s">
        <v>71</v>
      </c>
      <c r="AB9" s="41"/>
      <c r="AC9" s="41"/>
      <c r="AD9" s="42" t="s">
        <v>72</v>
      </c>
      <c r="AE9" s="42" t="s">
        <v>73</v>
      </c>
      <c r="AF9" s="42"/>
      <c r="AG9" s="42"/>
      <c r="AH9" s="42"/>
      <c r="AI9" s="42"/>
      <c r="AJ9" s="42" t="s">
        <v>74</v>
      </c>
      <c r="AK9" s="42"/>
      <c r="AL9" s="42"/>
      <c r="AM9" s="42" t="s">
        <v>75</v>
      </c>
      <c r="AN9" s="42" t="s">
        <v>76</v>
      </c>
      <c r="AO9" s="42"/>
      <c r="AP9" s="42"/>
      <c r="AQ9" s="42"/>
      <c r="AR9" s="42"/>
      <c r="AS9" s="42"/>
      <c r="AT9" s="42"/>
      <c r="AU9" s="42"/>
      <c r="AV9" s="42"/>
      <c r="AW9" s="42" t="s">
        <v>77</v>
      </c>
      <c r="AX9" s="42"/>
      <c r="AY9" s="42"/>
      <c r="AZ9" s="42" t="s">
        <v>78</v>
      </c>
      <c r="BA9" s="42" t="s">
        <v>79</v>
      </c>
      <c r="BB9" s="42" t="s">
        <v>80</v>
      </c>
      <c r="BC9" s="42"/>
      <c r="BD9" s="42"/>
      <c r="BE9" s="42" t="s">
        <v>81</v>
      </c>
      <c r="BF9" s="42"/>
      <c r="BG9" s="42"/>
      <c r="BH9" s="42"/>
      <c r="BI9" s="42" t="s">
        <v>82</v>
      </c>
      <c r="BJ9" s="42"/>
      <c r="BK9" s="42"/>
      <c r="BL9" s="42" t="s">
        <v>83</v>
      </c>
      <c r="BM9" s="42" t="s">
        <v>81</v>
      </c>
      <c r="BN9" s="42"/>
      <c r="BO9" s="42"/>
      <c r="BP9" s="42"/>
      <c r="BQ9" s="42" t="s">
        <v>82</v>
      </c>
      <c r="BR9" s="42"/>
      <c r="BS9" s="42"/>
      <c r="BT9" s="42" t="s">
        <v>83</v>
      </c>
      <c r="BU9" s="42" t="s">
        <v>81</v>
      </c>
      <c r="BV9" s="42"/>
      <c r="BW9" s="42"/>
      <c r="BX9" s="42"/>
      <c r="BY9" s="42" t="s">
        <v>82</v>
      </c>
      <c r="BZ9" s="42"/>
      <c r="CA9" s="42"/>
      <c r="CB9" s="42" t="s">
        <v>83</v>
      </c>
      <c r="CC9" s="45" t="s">
        <v>84</v>
      </c>
      <c r="CD9" s="45" t="s">
        <v>85</v>
      </c>
      <c r="CE9" s="45" t="s">
        <v>86</v>
      </c>
      <c r="CF9" s="45" t="s">
        <v>87</v>
      </c>
      <c r="CG9" s="45" t="s">
        <v>88</v>
      </c>
      <c r="CH9" s="45" t="s">
        <v>89</v>
      </c>
      <c r="CI9" s="45" t="s">
        <v>90</v>
      </c>
      <c r="CJ9" s="45" t="s">
        <v>91</v>
      </c>
      <c r="CK9" s="45" t="s">
        <v>92</v>
      </c>
      <c r="CL9" s="45" t="s">
        <v>93</v>
      </c>
      <c r="CM9" s="45" t="s">
        <v>94</v>
      </c>
      <c r="CN9" s="45" t="s">
        <v>95</v>
      </c>
      <c r="CO9" s="45" t="s">
        <v>96</v>
      </c>
      <c r="CP9" s="45" t="s">
        <v>97</v>
      </c>
      <c r="CQ9" s="45" t="s">
        <v>98</v>
      </c>
      <c r="CR9" s="45" t="s">
        <v>99</v>
      </c>
      <c r="CS9" s="45" t="s">
        <v>100</v>
      </c>
      <c r="CT9" s="45" t="s">
        <v>101</v>
      </c>
      <c r="CU9" s="45" t="s">
        <v>102</v>
      </c>
      <c r="CV9" s="45" t="s">
        <v>103</v>
      </c>
      <c r="CW9" s="45" t="s">
        <v>104</v>
      </c>
      <c r="CX9" s="45" t="s">
        <v>105</v>
      </c>
      <c r="CY9" s="45"/>
      <c r="CZ9" s="45"/>
      <c r="DA9" s="46" t="s">
        <v>106</v>
      </c>
      <c r="DB9" s="46" t="s">
        <v>107</v>
      </c>
      <c r="DC9" s="46" t="s">
        <v>86</v>
      </c>
      <c r="DD9" s="46" t="s">
        <v>87</v>
      </c>
      <c r="DE9" s="46" t="s">
        <v>108</v>
      </c>
      <c r="DF9" s="46" t="s">
        <v>91</v>
      </c>
      <c r="DG9" s="46" t="s">
        <v>109</v>
      </c>
      <c r="DH9" s="46" t="s">
        <v>110</v>
      </c>
      <c r="DI9" s="46" t="s">
        <v>111</v>
      </c>
      <c r="DJ9" s="46" t="s">
        <v>112</v>
      </c>
      <c r="DK9" s="46" t="s">
        <v>113</v>
      </c>
      <c r="DL9" s="46" t="s">
        <v>114</v>
      </c>
      <c r="DM9" s="46" t="s">
        <v>104</v>
      </c>
      <c r="DN9" s="46"/>
      <c r="DO9" s="46"/>
      <c r="DP9" s="44"/>
      <c r="DQ9" s="44" t="s">
        <v>115</v>
      </c>
      <c r="DR9" s="44" t="s">
        <v>116</v>
      </c>
      <c r="DS9" s="44" t="s">
        <v>117</v>
      </c>
      <c r="DT9" s="44" t="s">
        <v>118</v>
      </c>
      <c r="DU9" s="44" t="s">
        <v>116</v>
      </c>
      <c r="DV9" s="44" t="s">
        <v>117</v>
      </c>
      <c r="DW9" s="44" t="s">
        <v>119</v>
      </c>
      <c r="DX9" s="44" t="s">
        <v>120</v>
      </c>
      <c r="DY9" s="44" t="s">
        <v>121</v>
      </c>
      <c r="DZ9" s="44" t="s">
        <v>119</v>
      </c>
      <c r="EA9" s="44" t="s">
        <v>120</v>
      </c>
      <c r="EB9" s="44" t="s">
        <v>121</v>
      </c>
      <c r="EC9" s="44" t="s">
        <v>119</v>
      </c>
      <c r="ED9" s="44" t="s">
        <v>120</v>
      </c>
      <c r="EE9" s="44" t="s">
        <v>121</v>
      </c>
      <c r="EF9" s="44" t="s">
        <v>122</v>
      </c>
      <c r="EG9" s="44" t="s">
        <v>116</v>
      </c>
      <c r="EH9" s="44" t="s">
        <v>123</v>
      </c>
      <c r="EI9" s="44" t="s">
        <v>124</v>
      </c>
      <c r="EJ9" s="44" t="s">
        <v>125</v>
      </c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2"/>
    </row>
    <row r="10" spans="1:153" ht="66" customHeight="1">
      <c r="A10" s="41"/>
      <c r="B10" s="41"/>
      <c r="C10" s="41"/>
      <c r="D10" s="41"/>
      <c r="E10" s="41"/>
      <c r="F10" s="41"/>
      <c r="G10" s="4" t="s">
        <v>126</v>
      </c>
      <c r="H10" s="4" t="s">
        <v>127</v>
      </c>
      <c r="I10" s="4" t="s">
        <v>128</v>
      </c>
      <c r="J10" s="4" t="s">
        <v>126</v>
      </c>
      <c r="K10" s="4" t="s">
        <v>127</v>
      </c>
      <c r="L10" s="4" t="s">
        <v>128</v>
      </c>
      <c r="M10" s="41"/>
      <c r="N10" s="41"/>
      <c r="O10" s="41"/>
      <c r="P10" s="41"/>
      <c r="Q10" s="41"/>
      <c r="R10" s="4" t="s">
        <v>126</v>
      </c>
      <c r="S10" s="4" t="s">
        <v>127</v>
      </c>
      <c r="T10" s="4" t="s">
        <v>128</v>
      </c>
      <c r="U10" s="4" t="s">
        <v>126</v>
      </c>
      <c r="V10" s="4" t="s">
        <v>127</v>
      </c>
      <c r="W10" s="4" t="s">
        <v>128</v>
      </c>
      <c r="X10" s="41"/>
      <c r="Y10" s="4" t="s">
        <v>129</v>
      </c>
      <c r="Z10" s="4" t="s">
        <v>130</v>
      </c>
      <c r="AA10" s="4" t="s">
        <v>129</v>
      </c>
      <c r="AB10" s="4" t="s">
        <v>130</v>
      </c>
      <c r="AC10" s="41"/>
      <c r="AD10" s="42"/>
      <c r="AE10" s="5" t="s">
        <v>83</v>
      </c>
      <c r="AF10" s="5" t="s">
        <v>131</v>
      </c>
      <c r="AG10" s="5" t="s">
        <v>132</v>
      </c>
      <c r="AH10" s="5" t="s">
        <v>133</v>
      </c>
      <c r="AI10" s="5" t="s">
        <v>134</v>
      </c>
      <c r="AJ10" s="42"/>
      <c r="AK10" s="42"/>
      <c r="AL10" s="42"/>
      <c r="AM10" s="42"/>
      <c r="AN10" s="5" t="s">
        <v>135</v>
      </c>
      <c r="AO10" s="5" t="s">
        <v>136</v>
      </c>
      <c r="AP10" s="5" t="s">
        <v>137</v>
      </c>
      <c r="AQ10" s="5" t="s">
        <v>138</v>
      </c>
      <c r="AR10" s="5" t="s">
        <v>139</v>
      </c>
      <c r="AS10" s="5" t="s">
        <v>140</v>
      </c>
      <c r="AT10" s="5" t="s">
        <v>141</v>
      </c>
      <c r="AU10" s="5" t="s">
        <v>142</v>
      </c>
      <c r="AV10" s="5" t="s">
        <v>143</v>
      </c>
      <c r="AW10" s="5" t="s">
        <v>144</v>
      </c>
      <c r="AX10" s="5" t="s">
        <v>145</v>
      </c>
      <c r="AY10" s="5" t="s">
        <v>83</v>
      </c>
      <c r="AZ10" s="42"/>
      <c r="BA10" s="42"/>
      <c r="BB10" s="42"/>
      <c r="BC10" s="42"/>
      <c r="BD10" s="42"/>
      <c r="BE10" s="5" t="s">
        <v>146</v>
      </c>
      <c r="BF10" s="5" t="s">
        <v>147</v>
      </c>
      <c r="BG10" s="5" t="s">
        <v>148</v>
      </c>
      <c r="BH10" s="5" t="s">
        <v>149</v>
      </c>
      <c r="BI10" s="5" t="s">
        <v>150</v>
      </c>
      <c r="BJ10" s="5" t="s">
        <v>151</v>
      </c>
      <c r="BK10" s="5" t="s">
        <v>152</v>
      </c>
      <c r="BL10" s="42"/>
      <c r="BM10" s="5" t="s">
        <v>146</v>
      </c>
      <c r="BN10" s="5" t="s">
        <v>147</v>
      </c>
      <c r="BO10" s="5" t="s">
        <v>148</v>
      </c>
      <c r="BP10" s="5" t="s">
        <v>149</v>
      </c>
      <c r="BQ10" s="5" t="s">
        <v>150</v>
      </c>
      <c r="BR10" s="5" t="s">
        <v>151</v>
      </c>
      <c r="BS10" s="5" t="s">
        <v>152</v>
      </c>
      <c r="BT10" s="42"/>
      <c r="BU10" s="5" t="s">
        <v>146</v>
      </c>
      <c r="BV10" s="5" t="s">
        <v>147</v>
      </c>
      <c r="BW10" s="5" t="s">
        <v>148</v>
      </c>
      <c r="BX10" s="5" t="s">
        <v>149</v>
      </c>
      <c r="BY10" s="5" t="s">
        <v>150</v>
      </c>
      <c r="BZ10" s="5" t="s">
        <v>151</v>
      </c>
      <c r="CA10" s="5" t="s">
        <v>152</v>
      </c>
      <c r="CB10" s="42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6"/>
      <c r="DB10" s="46"/>
      <c r="DC10" s="46"/>
      <c r="DD10" s="46"/>
      <c r="DE10" s="46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2"/>
    </row>
    <row r="11" spans="1:153" ht="12" customHeight="1">
      <c r="A11" s="6" t="s">
        <v>153</v>
      </c>
      <c r="B11" s="6" t="s">
        <v>154</v>
      </c>
      <c r="C11" s="6" t="s">
        <v>154</v>
      </c>
      <c r="D11" s="6" t="s">
        <v>153</v>
      </c>
      <c r="E11" s="6" t="s">
        <v>155</v>
      </c>
      <c r="F11" s="6" t="s">
        <v>156</v>
      </c>
      <c r="G11" s="6" t="s">
        <v>154</v>
      </c>
      <c r="H11" s="6" t="s">
        <v>154</v>
      </c>
      <c r="I11" s="6" t="s">
        <v>154</v>
      </c>
      <c r="J11" s="6" t="s">
        <v>154</v>
      </c>
      <c r="K11" s="6" t="s">
        <v>154</v>
      </c>
      <c r="L11" s="6" t="s">
        <v>154</v>
      </c>
      <c r="M11" s="6" t="s">
        <v>157</v>
      </c>
      <c r="N11" s="6" t="s">
        <v>154</v>
      </c>
      <c r="O11" s="6" t="s">
        <v>153</v>
      </c>
      <c r="P11" s="6" t="s">
        <v>155</v>
      </c>
      <c r="Q11" s="6" t="s">
        <v>156</v>
      </c>
      <c r="R11" s="6" t="s">
        <v>154</v>
      </c>
      <c r="S11" s="6" t="s">
        <v>154</v>
      </c>
      <c r="T11" s="6" t="s">
        <v>154</v>
      </c>
      <c r="U11" s="6" t="s">
        <v>154</v>
      </c>
      <c r="V11" s="6" t="s">
        <v>154</v>
      </c>
      <c r="W11" s="6" t="s">
        <v>154</v>
      </c>
      <c r="X11" s="6" t="s">
        <v>157</v>
      </c>
      <c r="Y11" s="6" t="s">
        <v>158</v>
      </c>
      <c r="Z11" s="6" t="s">
        <v>158</v>
      </c>
      <c r="AA11" s="6" t="s">
        <v>158</v>
      </c>
      <c r="AB11" s="6" t="s">
        <v>158</v>
      </c>
      <c r="AC11" s="6" t="s">
        <v>159</v>
      </c>
      <c r="AD11" s="7" t="s">
        <v>160</v>
      </c>
      <c r="AE11" s="7" t="s">
        <v>160</v>
      </c>
      <c r="AF11" s="7" t="s">
        <v>160</v>
      </c>
      <c r="AG11" s="7" t="s">
        <v>160</v>
      </c>
      <c r="AH11" s="7" t="s">
        <v>160</v>
      </c>
      <c r="AI11" s="7" t="s">
        <v>160</v>
      </c>
      <c r="AJ11" s="7" t="s">
        <v>160</v>
      </c>
      <c r="AK11" s="7" t="s">
        <v>160</v>
      </c>
      <c r="AL11" s="7" t="s">
        <v>160</v>
      </c>
      <c r="AM11" s="7" t="s">
        <v>160</v>
      </c>
      <c r="AN11" s="7" t="s">
        <v>160</v>
      </c>
      <c r="AO11" s="7" t="s">
        <v>160</v>
      </c>
      <c r="AP11" s="7" t="s">
        <v>160</v>
      </c>
      <c r="AQ11" s="7" t="s">
        <v>160</v>
      </c>
      <c r="AR11" s="7" t="s">
        <v>160</v>
      </c>
      <c r="AS11" s="7" t="s">
        <v>160</v>
      </c>
      <c r="AT11" s="7" t="s">
        <v>160</v>
      </c>
      <c r="AU11" s="7" t="s">
        <v>160</v>
      </c>
      <c r="AV11" s="7" t="s">
        <v>160</v>
      </c>
      <c r="AW11" s="7" t="s">
        <v>160</v>
      </c>
      <c r="AX11" s="7" t="s">
        <v>160</v>
      </c>
      <c r="AY11" s="7" t="s">
        <v>160</v>
      </c>
      <c r="AZ11" s="7" t="s">
        <v>160</v>
      </c>
      <c r="BA11" s="7" t="s">
        <v>160</v>
      </c>
      <c r="BB11" s="7" t="s">
        <v>160</v>
      </c>
      <c r="BC11" s="7" t="s">
        <v>160</v>
      </c>
      <c r="BD11" s="7" t="s">
        <v>160</v>
      </c>
      <c r="BE11" s="7" t="s">
        <v>160</v>
      </c>
      <c r="BF11" s="7" t="s">
        <v>160</v>
      </c>
      <c r="BG11" s="7" t="s">
        <v>160</v>
      </c>
      <c r="BH11" s="7" t="s">
        <v>160</v>
      </c>
      <c r="BI11" s="7" t="s">
        <v>160</v>
      </c>
      <c r="BJ11" s="7" t="s">
        <v>160</v>
      </c>
      <c r="BK11" s="7" t="s">
        <v>160</v>
      </c>
      <c r="BL11" s="7" t="s">
        <v>160</v>
      </c>
      <c r="BM11" s="7" t="s">
        <v>160</v>
      </c>
      <c r="BN11" s="7" t="s">
        <v>160</v>
      </c>
      <c r="BO11" s="7" t="s">
        <v>160</v>
      </c>
      <c r="BP11" s="7" t="s">
        <v>160</v>
      </c>
      <c r="BQ11" s="7" t="s">
        <v>160</v>
      </c>
      <c r="BR11" s="7" t="s">
        <v>160</v>
      </c>
      <c r="BS11" s="7" t="s">
        <v>160</v>
      </c>
      <c r="BT11" s="7" t="s">
        <v>160</v>
      </c>
      <c r="BU11" s="7" t="s">
        <v>160</v>
      </c>
      <c r="BV11" s="7" t="s">
        <v>160</v>
      </c>
      <c r="BW11" s="7" t="s">
        <v>160</v>
      </c>
      <c r="BX11" s="7" t="s">
        <v>160</v>
      </c>
      <c r="BY11" s="7" t="s">
        <v>160</v>
      </c>
      <c r="BZ11" s="7" t="s">
        <v>160</v>
      </c>
      <c r="CA11" s="7" t="s">
        <v>160</v>
      </c>
      <c r="CB11" s="7" t="s">
        <v>160</v>
      </c>
      <c r="CC11" s="8" t="s">
        <v>158</v>
      </c>
      <c r="CD11" s="8" t="s">
        <v>158</v>
      </c>
      <c r="CE11" s="8" t="s">
        <v>161</v>
      </c>
      <c r="CF11" s="8" t="s">
        <v>161</v>
      </c>
      <c r="CG11" s="8" t="s">
        <v>161</v>
      </c>
      <c r="CH11" s="8" t="s">
        <v>162</v>
      </c>
      <c r="CI11" s="8" t="s">
        <v>162</v>
      </c>
      <c r="CJ11" s="8" t="s">
        <v>162</v>
      </c>
      <c r="CK11" s="8" t="s">
        <v>162</v>
      </c>
      <c r="CL11" s="8" t="s">
        <v>163</v>
      </c>
      <c r="CM11" s="8" t="s">
        <v>163</v>
      </c>
      <c r="CN11" s="8" t="s">
        <v>163</v>
      </c>
      <c r="CO11" s="8" t="s">
        <v>163</v>
      </c>
      <c r="CP11" s="8" t="s">
        <v>163</v>
      </c>
      <c r="CQ11" s="8" t="s">
        <v>163</v>
      </c>
      <c r="CR11" s="8" t="s">
        <v>163</v>
      </c>
      <c r="CS11" s="8" t="s">
        <v>163</v>
      </c>
      <c r="CT11" s="8" t="s">
        <v>163</v>
      </c>
      <c r="CU11" s="8" t="s">
        <v>163</v>
      </c>
      <c r="CV11" s="8" t="s">
        <v>163</v>
      </c>
      <c r="CW11" s="8" t="s">
        <v>163</v>
      </c>
      <c r="CX11" s="8" t="s">
        <v>163</v>
      </c>
      <c r="CY11" s="8" t="s">
        <v>164</v>
      </c>
      <c r="CZ11" s="8" t="s">
        <v>165</v>
      </c>
      <c r="DA11" s="9" t="s">
        <v>158</v>
      </c>
      <c r="DB11" s="9" t="s">
        <v>158</v>
      </c>
      <c r="DC11" s="9" t="s">
        <v>161</v>
      </c>
      <c r="DD11" s="9" t="s">
        <v>161</v>
      </c>
      <c r="DE11" s="9" t="s">
        <v>162</v>
      </c>
      <c r="DF11" s="9" t="s">
        <v>162</v>
      </c>
      <c r="DG11" s="9" t="s">
        <v>163</v>
      </c>
      <c r="DH11" s="9" t="s">
        <v>163</v>
      </c>
      <c r="DI11" s="9" t="s">
        <v>165</v>
      </c>
      <c r="DJ11" s="9" t="s">
        <v>165</v>
      </c>
      <c r="DK11" s="9" t="s">
        <v>163</v>
      </c>
      <c r="DL11" s="9" t="s">
        <v>163</v>
      </c>
      <c r="DM11" s="9" t="s">
        <v>163</v>
      </c>
      <c r="DN11" s="9" t="s">
        <v>164</v>
      </c>
      <c r="DO11" s="9" t="s">
        <v>165</v>
      </c>
      <c r="DP11" s="10" t="s">
        <v>153</v>
      </c>
      <c r="DQ11" s="10" t="s">
        <v>166</v>
      </c>
      <c r="DR11" s="10" t="s">
        <v>167</v>
      </c>
      <c r="DS11" s="10" t="s">
        <v>168</v>
      </c>
      <c r="DT11" s="10" t="s">
        <v>169</v>
      </c>
      <c r="DU11" s="10" t="s">
        <v>167</v>
      </c>
      <c r="DV11" s="10" t="s">
        <v>168</v>
      </c>
      <c r="DW11" s="10" t="s">
        <v>170</v>
      </c>
      <c r="DX11" s="10" t="s">
        <v>170</v>
      </c>
      <c r="DY11" s="10" t="s">
        <v>170</v>
      </c>
      <c r="DZ11" s="10" t="s">
        <v>170</v>
      </c>
      <c r="EA11" s="10" t="s">
        <v>170</v>
      </c>
      <c r="EB11" s="10" t="s">
        <v>170</v>
      </c>
      <c r="EC11" s="10" t="s">
        <v>170</v>
      </c>
      <c r="ED11" s="10" t="s">
        <v>170</v>
      </c>
      <c r="EE11" s="10" t="s">
        <v>170</v>
      </c>
      <c r="EF11" s="10" t="s">
        <v>171</v>
      </c>
      <c r="EG11" s="10" t="s">
        <v>167</v>
      </c>
      <c r="EH11" s="10" t="s">
        <v>172</v>
      </c>
      <c r="EI11" s="10" t="s">
        <v>173</v>
      </c>
      <c r="EJ11" s="10" t="s">
        <v>167</v>
      </c>
      <c r="EK11" s="11" t="s">
        <v>174</v>
      </c>
      <c r="EL11" s="11" t="s">
        <v>174</v>
      </c>
      <c r="EM11" s="11" t="s">
        <v>174</v>
      </c>
      <c r="EN11" s="11" t="s">
        <v>174</v>
      </c>
      <c r="EO11" s="11" t="s">
        <v>174</v>
      </c>
      <c r="EP11" s="11" t="s">
        <v>174</v>
      </c>
      <c r="EQ11" s="11" t="s">
        <v>174</v>
      </c>
      <c r="ER11" s="11" t="s">
        <v>174</v>
      </c>
      <c r="ES11" s="11" t="s">
        <v>174</v>
      </c>
      <c r="ET11" s="11" t="s">
        <v>174</v>
      </c>
      <c r="EU11" s="11" t="s">
        <v>174</v>
      </c>
      <c r="EV11" s="11" t="s">
        <v>174</v>
      </c>
      <c r="EW11" s="2"/>
    </row>
    <row r="12" spans="1:153" ht="12.95" customHeight="1">
      <c r="A12" s="6" t="s">
        <v>153</v>
      </c>
      <c r="B12" s="12" t="s">
        <v>175</v>
      </c>
      <c r="C12" s="12" t="s">
        <v>176</v>
      </c>
      <c r="D12" s="12" t="s">
        <v>177</v>
      </c>
      <c r="E12" s="12" t="s">
        <v>178</v>
      </c>
      <c r="F12" s="12" t="s">
        <v>179</v>
      </c>
      <c r="G12" s="12" t="s">
        <v>180</v>
      </c>
      <c r="H12" s="12" t="s">
        <v>181</v>
      </c>
      <c r="I12" s="12" t="s">
        <v>182</v>
      </c>
      <c r="J12" s="12" t="s">
        <v>183</v>
      </c>
      <c r="K12" s="12" t="s">
        <v>184</v>
      </c>
      <c r="L12" s="12" t="s">
        <v>185</v>
      </c>
      <c r="M12" s="12" t="s">
        <v>186</v>
      </c>
      <c r="N12" s="12" t="s">
        <v>187</v>
      </c>
      <c r="O12" s="12" t="s">
        <v>188</v>
      </c>
      <c r="P12" s="12" t="s">
        <v>189</v>
      </c>
      <c r="Q12" s="12" t="s">
        <v>190</v>
      </c>
      <c r="R12" s="12" t="s">
        <v>191</v>
      </c>
      <c r="S12" s="12" t="s">
        <v>192</v>
      </c>
      <c r="T12" s="12" t="s">
        <v>193</v>
      </c>
      <c r="U12" s="12" t="s">
        <v>194</v>
      </c>
      <c r="V12" s="12" t="s">
        <v>195</v>
      </c>
      <c r="W12" s="12" t="s">
        <v>196</v>
      </c>
      <c r="X12" s="12" t="s">
        <v>197</v>
      </c>
      <c r="Y12" s="12" t="s">
        <v>198</v>
      </c>
      <c r="Z12" s="12" t="s">
        <v>199</v>
      </c>
      <c r="AA12" s="12" t="s">
        <v>200</v>
      </c>
      <c r="AB12" s="12" t="s">
        <v>201</v>
      </c>
      <c r="AC12" s="12" t="s">
        <v>202</v>
      </c>
      <c r="AD12" s="13" t="s">
        <v>203</v>
      </c>
      <c r="AE12" s="13" t="s">
        <v>204</v>
      </c>
      <c r="AF12" s="13" t="s">
        <v>205</v>
      </c>
      <c r="AG12" s="13" t="s">
        <v>206</v>
      </c>
      <c r="AH12" s="13" t="s">
        <v>207</v>
      </c>
      <c r="AI12" s="13" t="s">
        <v>208</v>
      </c>
      <c r="AJ12" s="13" t="s">
        <v>209</v>
      </c>
      <c r="AK12" s="13" t="s">
        <v>210</v>
      </c>
      <c r="AL12" s="13" t="s">
        <v>211</v>
      </c>
      <c r="AM12" s="13" t="s">
        <v>212</v>
      </c>
      <c r="AN12" s="13" t="s">
        <v>213</v>
      </c>
      <c r="AO12" s="13" t="s">
        <v>214</v>
      </c>
      <c r="AP12" s="13" t="s">
        <v>215</v>
      </c>
      <c r="AQ12" s="13" t="s">
        <v>216</v>
      </c>
      <c r="AR12" s="13" t="s">
        <v>217</v>
      </c>
      <c r="AS12" s="13" t="s">
        <v>218</v>
      </c>
      <c r="AT12" s="13" t="s">
        <v>219</v>
      </c>
      <c r="AU12" s="13" t="s">
        <v>220</v>
      </c>
      <c r="AV12" s="13" t="s">
        <v>221</v>
      </c>
      <c r="AW12" s="13" t="s">
        <v>222</v>
      </c>
      <c r="AX12" s="13" t="s">
        <v>223</v>
      </c>
      <c r="AY12" s="13" t="s">
        <v>224</v>
      </c>
      <c r="AZ12" s="13" t="s">
        <v>225</v>
      </c>
      <c r="BA12" s="13" t="s">
        <v>226</v>
      </c>
      <c r="BB12" s="13" t="s">
        <v>227</v>
      </c>
      <c r="BC12" s="13" t="s">
        <v>228</v>
      </c>
      <c r="BD12" s="13" t="s">
        <v>229</v>
      </c>
      <c r="BE12" s="13" t="s">
        <v>230</v>
      </c>
      <c r="BF12" s="13" t="s">
        <v>231</v>
      </c>
      <c r="BG12" s="13" t="s">
        <v>232</v>
      </c>
      <c r="BH12" s="13" t="s">
        <v>233</v>
      </c>
      <c r="BI12" s="13" t="s">
        <v>234</v>
      </c>
      <c r="BJ12" s="13" t="s">
        <v>235</v>
      </c>
      <c r="BK12" s="13" t="s">
        <v>236</v>
      </c>
      <c r="BL12" s="13" t="s">
        <v>237</v>
      </c>
      <c r="BM12" s="13" t="s">
        <v>238</v>
      </c>
      <c r="BN12" s="13" t="s">
        <v>239</v>
      </c>
      <c r="BO12" s="13" t="s">
        <v>240</v>
      </c>
      <c r="BP12" s="13" t="s">
        <v>241</v>
      </c>
      <c r="BQ12" s="13" t="s">
        <v>242</v>
      </c>
      <c r="BR12" s="13" t="s">
        <v>243</v>
      </c>
      <c r="BS12" s="13" t="s">
        <v>244</v>
      </c>
      <c r="BT12" s="13" t="s">
        <v>245</v>
      </c>
      <c r="BU12" s="13" t="s">
        <v>246</v>
      </c>
      <c r="BV12" s="13" t="s">
        <v>247</v>
      </c>
      <c r="BW12" s="13" t="s">
        <v>248</v>
      </c>
      <c r="BX12" s="13" t="s">
        <v>249</v>
      </c>
      <c r="BY12" s="13" t="s">
        <v>250</v>
      </c>
      <c r="BZ12" s="13" t="s">
        <v>251</v>
      </c>
      <c r="CA12" s="13" t="s">
        <v>252</v>
      </c>
      <c r="CB12" s="13" t="s">
        <v>253</v>
      </c>
      <c r="CC12" s="14" t="s">
        <v>254</v>
      </c>
      <c r="CD12" s="14" t="s">
        <v>255</v>
      </c>
      <c r="CE12" s="14" t="s">
        <v>256</v>
      </c>
      <c r="CF12" s="14" t="s">
        <v>257</v>
      </c>
      <c r="CG12" s="14" t="s">
        <v>258</v>
      </c>
      <c r="CH12" s="14" t="s">
        <v>259</v>
      </c>
      <c r="CI12" s="14" t="s">
        <v>260</v>
      </c>
      <c r="CJ12" s="14" t="s">
        <v>261</v>
      </c>
      <c r="CK12" s="14" t="s">
        <v>262</v>
      </c>
      <c r="CL12" s="14" t="s">
        <v>263</v>
      </c>
      <c r="CM12" s="14" t="s">
        <v>264</v>
      </c>
      <c r="CN12" s="14" t="s">
        <v>265</v>
      </c>
      <c r="CO12" s="14" t="s">
        <v>266</v>
      </c>
      <c r="CP12" s="14" t="s">
        <v>267</v>
      </c>
      <c r="CQ12" s="14" t="s">
        <v>268</v>
      </c>
      <c r="CR12" s="14" t="s">
        <v>269</v>
      </c>
      <c r="CS12" s="14" t="s">
        <v>270</v>
      </c>
      <c r="CT12" s="14" t="s">
        <v>271</v>
      </c>
      <c r="CU12" s="14" t="s">
        <v>272</v>
      </c>
      <c r="CV12" s="14" t="s">
        <v>273</v>
      </c>
      <c r="CW12" s="14" t="s">
        <v>274</v>
      </c>
      <c r="CX12" s="14" t="s">
        <v>275</v>
      </c>
      <c r="CY12" s="14" t="s">
        <v>276</v>
      </c>
      <c r="CZ12" s="14" t="s">
        <v>277</v>
      </c>
      <c r="DA12" s="15" t="s">
        <v>278</v>
      </c>
      <c r="DB12" s="15" t="s">
        <v>279</v>
      </c>
      <c r="DC12" s="15" t="s">
        <v>280</v>
      </c>
      <c r="DD12" s="15" t="s">
        <v>281</v>
      </c>
      <c r="DE12" s="15" t="s">
        <v>282</v>
      </c>
      <c r="DF12" s="15" t="s">
        <v>283</v>
      </c>
      <c r="DG12" s="15" t="s">
        <v>284</v>
      </c>
      <c r="DH12" s="15" t="s">
        <v>285</v>
      </c>
      <c r="DI12" s="15" t="s">
        <v>286</v>
      </c>
      <c r="DJ12" s="15" t="s">
        <v>287</v>
      </c>
      <c r="DK12" s="15" t="s">
        <v>288</v>
      </c>
      <c r="DL12" s="15" t="s">
        <v>289</v>
      </c>
      <c r="DM12" s="15" t="s">
        <v>290</v>
      </c>
      <c r="DN12" s="15" t="s">
        <v>291</v>
      </c>
      <c r="DO12" s="15" t="s">
        <v>292</v>
      </c>
      <c r="DP12" s="16" t="s">
        <v>293</v>
      </c>
      <c r="DQ12" s="16" t="s">
        <v>294</v>
      </c>
      <c r="DR12" s="16" t="s">
        <v>295</v>
      </c>
      <c r="DS12" s="16" t="s">
        <v>296</v>
      </c>
      <c r="DT12" s="16" t="s">
        <v>297</v>
      </c>
      <c r="DU12" s="16" t="s">
        <v>298</v>
      </c>
      <c r="DV12" s="16" t="s">
        <v>299</v>
      </c>
      <c r="DW12" s="16" t="s">
        <v>300</v>
      </c>
      <c r="DX12" s="16" t="s">
        <v>301</v>
      </c>
      <c r="DY12" s="16" t="s">
        <v>302</v>
      </c>
      <c r="DZ12" s="16" t="s">
        <v>303</v>
      </c>
      <c r="EA12" s="16" t="s">
        <v>304</v>
      </c>
      <c r="EB12" s="16" t="s">
        <v>305</v>
      </c>
      <c r="EC12" s="16" t="s">
        <v>306</v>
      </c>
      <c r="ED12" s="16" t="s">
        <v>307</v>
      </c>
      <c r="EE12" s="16" t="s">
        <v>308</v>
      </c>
      <c r="EF12" s="16" t="s">
        <v>309</v>
      </c>
      <c r="EG12" s="16" t="s">
        <v>310</v>
      </c>
      <c r="EH12" s="16" t="s">
        <v>311</v>
      </c>
      <c r="EI12" s="16" t="s">
        <v>312</v>
      </c>
      <c r="EJ12" s="16" t="s">
        <v>313</v>
      </c>
      <c r="EK12" s="17" t="s">
        <v>314</v>
      </c>
      <c r="EL12" s="17" t="s">
        <v>315</v>
      </c>
      <c r="EM12" s="17" t="s">
        <v>316</v>
      </c>
      <c r="EN12" s="17" t="s">
        <v>317</v>
      </c>
      <c r="EO12" s="17" t="s">
        <v>318</v>
      </c>
      <c r="EP12" s="17" t="s">
        <v>319</v>
      </c>
      <c r="EQ12" s="17" t="s">
        <v>320</v>
      </c>
      <c r="ER12" s="17" t="s">
        <v>321</v>
      </c>
      <c r="ES12" s="17" t="s">
        <v>322</v>
      </c>
      <c r="ET12" s="17" t="s">
        <v>323</v>
      </c>
      <c r="EU12" s="17" t="s">
        <v>324</v>
      </c>
      <c r="EV12" s="17" t="s">
        <v>325</v>
      </c>
      <c r="EW12" s="2"/>
    </row>
    <row r="13" spans="1:153" ht="12" customHeight="1">
      <c r="A13" s="48" t="s">
        <v>326</v>
      </c>
      <c r="B13" s="48"/>
      <c r="C13" s="48"/>
      <c r="D13" s="48"/>
      <c r="E13" s="48"/>
      <c r="F13" s="48"/>
      <c r="G13" s="48"/>
      <c r="H13" s="48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</row>
    <row r="14" spans="1:153" ht="12" customHeight="1">
      <c r="A14" s="1" t="s">
        <v>327</v>
      </c>
      <c r="B14" s="19">
        <v>252</v>
      </c>
      <c r="C14" s="19">
        <v>252</v>
      </c>
      <c r="D14" s="1" t="s">
        <v>5</v>
      </c>
      <c r="E14" s="19">
        <v>236</v>
      </c>
      <c r="F14" s="19">
        <v>119</v>
      </c>
      <c r="G14" s="20">
        <v>207</v>
      </c>
      <c r="H14" s="20">
        <v>10</v>
      </c>
      <c r="I14" s="20">
        <v>35</v>
      </c>
      <c r="J14" s="20">
        <v>0</v>
      </c>
      <c r="K14" s="20">
        <v>0</v>
      </c>
      <c r="L14" s="20" t="s">
        <v>5</v>
      </c>
      <c r="M14" s="21" t="s">
        <v>5</v>
      </c>
      <c r="N14" s="19">
        <v>33</v>
      </c>
      <c r="O14" s="1" t="s">
        <v>5</v>
      </c>
      <c r="P14" s="19">
        <v>31</v>
      </c>
      <c r="Q14" s="19">
        <v>6</v>
      </c>
      <c r="R14" s="20">
        <v>26</v>
      </c>
      <c r="S14" s="20">
        <v>1</v>
      </c>
      <c r="T14" s="20">
        <v>6</v>
      </c>
      <c r="U14" s="20">
        <v>162</v>
      </c>
      <c r="V14" s="20">
        <v>9</v>
      </c>
      <c r="W14" s="20" t="s">
        <v>5</v>
      </c>
      <c r="X14" s="21" t="s">
        <v>5</v>
      </c>
      <c r="Y14" s="19">
        <v>9521974</v>
      </c>
      <c r="Z14" s="20" t="s">
        <v>5</v>
      </c>
      <c r="AA14" s="19">
        <v>5236277</v>
      </c>
      <c r="AB14" s="20" t="s">
        <v>5</v>
      </c>
      <c r="AC14" s="19">
        <v>5612</v>
      </c>
      <c r="AD14" s="22">
        <v>1623335056.8299999</v>
      </c>
      <c r="AE14" s="22">
        <v>1552836452.1800001</v>
      </c>
      <c r="AF14" s="22">
        <v>1282951896.3599999</v>
      </c>
      <c r="AG14" s="22">
        <v>269884555.81999999</v>
      </c>
      <c r="AH14" s="22">
        <v>0</v>
      </c>
      <c r="AI14" s="22">
        <v>0</v>
      </c>
      <c r="AJ14" s="22">
        <v>70498604.650000006</v>
      </c>
      <c r="AK14" s="22">
        <v>1360218932.8399999</v>
      </c>
      <c r="AL14" s="22">
        <v>513363885.67000002</v>
      </c>
      <c r="AM14" s="22">
        <v>2094164320.95</v>
      </c>
      <c r="AN14" s="22">
        <v>1456829703.1099999</v>
      </c>
      <c r="AO14" s="22">
        <v>602498630.91999996</v>
      </c>
      <c r="AP14" s="22">
        <v>58695871.170000002</v>
      </c>
      <c r="AQ14" s="22">
        <v>217241153.78999999</v>
      </c>
      <c r="AR14" s="22">
        <v>257393499.11000001</v>
      </c>
      <c r="AS14" s="22">
        <v>0</v>
      </c>
      <c r="AT14" s="22">
        <v>0</v>
      </c>
      <c r="AU14" s="22">
        <v>138269860.50999999</v>
      </c>
      <c r="AV14" s="22">
        <v>182730687.61000001</v>
      </c>
      <c r="AW14" s="22">
        <v>201854569.81</v>
      </c>
      <c r="AX14" s="22">
        <v>8024177.4800000004</v>
      </c>
      <c r="AY14" s="22">
        <v>209878747.28999999</v>
      </c>
      <c r="AZ14" s="22">
        <v>329231831.38999999</v>
      </c>
      <c r="BA14" s="22">
        <v>34741125.909999996</v>
      </c>
      <c r="BB14" s="22">
        <v>63482913.25</v>
      </c>
      <c r="BC14" s="22">
        <v>144944299.13</v>
      </c>
      <c r="BD14" s="22">
        <v>354823046.42000002</v>
      </c>
      <c r="BE14" s="22">
        <v>0</v>
      </c>
      <c r="BF14" s="22">
        <v>160508923.31</v>
      </c>
      <c r="BG14" s="22">
        <v>200902513.09</v>
      </c>
      <c r="BH14" s="22">
        <v>13488041.060000001</v>
      </c>
      <c r="BI14" s="22">
        <v>168374066.25999999</v>
      </c>
      <c r="BJ14" s="22">
        <v>194180460.88</v>
      </c>
      <c r="BK14" s="22">
        <v>12344950.32</v>
      </c>
      <c r="BL14" s="22">
        <v>374899477.45999998</v>
      </c>
      <c r="BM14" s="22">
        <v>0</v>
      </c>
      <c r="BN14" s="22">
        <v>0</v>
      </c>
      <c r="BO14" s="22">
        <v>0</v>
      </c>
      <c r="BP14" s="22">
        <v>0</v>
      </c>
      <c r="BQ14" s="22">
        <v>0</v>
      </c>
      <c r="BR14" s="22">
        <v>0</v>
      </c>
      <c r="BS14" s="22">
        <v>0</v>
      </c>
      <c r="BT14" s="22">
        <v>0</v>
      </c>
      <c r="BU14" s="22">
        <v>0</v>
      </c>
      <c r="BV14" s="22">
        <v>87209885.120000005</v>
      </c>
      <c r="BW14" s="22">
        <v>68735883.859999999</v>
      </c>
      <c r="BX14" s="22">
        <v>6033441.96</v>
      </c>
      <c r="BY14" s="22">
        <v>3567693.46</v>
      </c>
      <c r="BZ14" s="22">
        <v>0</v>
      </c>
      <c r="CA14" s="22">
        <v>158411517.47999999</v>
      </c>
      <c r="CB14" s="22">
        <v>161979210.94</v>
      </c>
      <c r="CC14" s="19">
        <v>4861456</v>
      </c>
      <c r="CD14" s="47" t="s">
        <v>328</v>
      </c>
      <c r="CE14" s="19">
        <v>1737093</v>
      </c>
      <c r="CF14" s="19">
        <v>1353121</v>
      </c>
      <c r="CG14" s="19">
        <v>921450</v>
      </c>
      <c r="CH14" s="19">
        <v>1517473</v>
      </c>
      <c r="CI14" s="19">
        <v>1048043</v>
      </c>
      <c r="CJ14" s="19">
        <v>1405623</v>
      </c>
      <c r="CK14" s="19">
        <v>973334</v>
      </c>
      <c r="CL14" s="22">
        <v>513460.08</v>
      </c>
      <c r="CM14" s="22">
        <v>161696.29</v>
      </c>
      <c r="CN14" s="22">
        <v>8849.2900000000009</v>
      </c>
      <c r="CO14" s="22">
        <v>0</v>
      </c>
      <c r="CP14" s="22">
        <v>0</v>
      </c>
      <c r="CQ14" s="22">
        <v>0</v>
      </c>
      <c r="CR14" s="22">
        <v>318978.92</v>
      </c>
      <c r="CS14" s="22">
        <v>186805.48</v>
      </c>
      <c r="CT14" s="22">
        <v>81236.89</v>
      </c>
      <c r="CU14" s="22">
        <v>154402.85999999999</v>
      </c>
      <c r="CV14" s="22">
        <v>254267.17</v>
      </c>
      <c r="CW14" s="22">
        <v>284656.49</v>
      </c>
      <c r="CX14" s="22">
        <v>131074.98000000001</v>
      </c>
      <c r="CY14" s="22">
        <v>21339.18</v>
      </c>
      <c r="CZ14" s="22">
        <v>345647.18</v>
      </c>
      <c r="DA14" s="19">
        <v>1268985</v>
      </c>
      <c r="DB14" s="47" t="s">
        <v>328</v>
      </c>
      <c r="DC14" s="19">
        <v>359589</v>
      </c>
      <c r="DD14" s="19">
        <v>344942</v>
      </c>
      <c r="DE14" s="19">
        <v>390240</v>
      </c>
      <c r="DF14" s="19">
        <v>354257</v>
      </c>
      <c r="DG14" s="22">
        <v>50907.43</v>
      </c>
      <c r="DH14" s="22">
        <v>47636.82</v>
      </c>
      <c r="DI14" s="22">
        <v>0</v>
      </c>
      <c r="DJ14" s="22">
        <v>0</v>
      </c>
      <c r="DK14" s="22">
        <v>0</v>
      </c>
      <c r="DL14" s="22">
        <v>0</v>
      </c>
      <c r="DM14" s="22">
        <v>61967.54</v>
      </c>
      <c r="DN14" s="22">
        <v>4741.2700000000004</v>
      </c>
      <c r="DO14" s="22">
        <v>13181.66</v>
      </c>
      <c r="DP14" s="1"/>
      <c r="DQ14" s="19">
        <v>1437</v>
      </c>
      <c r="DR14" s="19">
        <v>15275</v>
      </c>
      <c r="DS14" s="19">
        <v>3393655</v>
      </c>
      <c r="DT14" s="19">
        <v>3608</v>
      </c>
      <c r="DU14" s="22">
        <v>162890.47</v>
      </c>
      <c r="DV14" s="19">
        <v>2915197</v>
      </c>
      <c r="DW14" s="19">
        <v>429931</v>
      </c>
      <c r="DX14" s="19">
        <v>451317</v>
      </c>
      <c r="DY14" s="19">
        <v>5564</v>
      </c>
      <c r="DZ14" s="19">
        <v>424887</v>
      </c>
      <c r="EA14" s="19">
        <v>367757</v>
      </c>
      <c r="EB14" s="19">
        <v>7940</v>
      </c>
      <c r="EC14" s="19">
        <v>106584</v>
      </c>
      <c r="ED14" s="19">
        <v>98328</v>
      </c>
      <c r="EE14" s="19">
        <v>2831</v>
      </c>
      <c r="EF14" s="19">
        <v>4388</v>
      </c>
      <c r="EG14" s="22">
        <v>1454.57</v>
      </c>
      <c r="EH14" s="19">
        <v>2024156</v>
      </c>
      <c r="EI14" s="19">
        <v>1923233</v>
      </c>
      <c r="EJ14" s="22">
        <v>80575626.079999998</v>
      </c>
      <c r="EK14" s="22">
        <v>14273481.08</v>
      </c>
      <c r="EL14" s="22">
        <v>282860965.75</v>
      </c>
      <c r="EM14" s="22">
        <v>88463621.209999993</v>
      </c>
      <c r="EN14" s="22">
        <v>-417052.01</v>
      </c>
      <c r="EO14" s="22">
        <v>469656302.91000003</v>
      </c>
      <c r="EP14" s="22">
        <v>-275258948.37</v>
      </c>
      <c r="EQ14" s="22">
        <v>66402104.780000001</v>
      </c>
      <c r="ER14" s="22">
        <v>0</v>
      </c>
      <c r="ES14" s="22">
        <v>-10497668.57</v>
      </c>
      <c r="ET14" s="22">
        <v>253816.37</v>
      </c>
      <c r="EU14" s="22">
        <v>-261357.26</v>
      </c>
      <c r="EV14" s="22">
        <v>-16786966.149999999</v>
      </c>
      <c r="EW14" s="2"/>
    </row>
    <row r="15" spans="1:153" ht="12" customHeight="1">
      <c r="A15" s="1" t="s">
        <v>329</v>
      </c>
      <c r="B15" s="19">
        <v>1491</v>
      </c>
      <c r="C15" s="19">
        <v>1491</v>
      </c>
      <c r="D15" s="1" t="s">
        <v>5</v>
      </c>
      <c r="E15" s="19">
        <v>1458</v>
      </c>
      <c r="F15" s="19">
        <v>2892</v>
      </c>
      <c r="G15" s="20">
        <v>1036</v>
      </c>
      <c r="H15" s="20">
        <v>352</v>
      </c>
      <c r="I15" s="20">
        <v>103</v>
      </c>
      <c r="J15" s="20"/>
      <c r="K15" s="20"/>
      <c r="L15" s="20" t="s">
        <v>5</v>
      </c>
      <c r="M15" s="21" t="s">
        <v>5</v>
      </c>
      <c r="N15" s="19">
        <v>351</v>
      </c>
      <c r="O15" s="1" t="s">
        <v>5</v>
      </c>
      <c r="P15" s="19">
        <v>337</v>
      </c>
      <c r="Q15" s="19">
        <v>118</v>
      </c>
      <c r="R15" s="20">
        <v>279</v>
      </c>
      <c r="S15" s="20">
        <v>49</v>
      </c>
      <c r="T15" s="20">
        <v>22</v>
      </c>
      <c r="U15" s="20">
        <v>573</v>
      </c>
      <c r="V15" s="20">
        <v>197</v>
      </c>
      <c r="W15" s="20" t="s">
        <v>5</v>
      </c>
      <c r="X15" s="21" t="s">
        <v>5</v>
      </c>
      <c r="Y15" s="19">
        <v>47548750</v>
      </c>
      <c r="Z15" s="20" t="s">
        <v>5</v>
      </c>
      <c r="AA15" s="19">
        <v>29272921</v>
      </c>
      <c r="AB15" s="20" t="s">
        <v>5</v>
      </c>
      <c r="AC15" s="19">
        <v>18354</v>
      </c>
      <c r="AD15" s="22">
        <v>12508794082.16</v>
      </c>
      <c r="AE15" s="22">
        <v>11956292252.57</v>
      </c>
      <c r="AF15" s="22">
        <v>8754865840.5400009</v>
      </c>
      <c r="AG15" s="22">
        <v>2949928958.04</v>
      </c>
      <c r="AH15" s="22">
        <v>234377880.69999999</v>
      </c>
      <c r="AI15" s="22">
        <v>17119573.289999999</v>
      </c>
      <c r="AJ15" s="22">
        <v>552501829.59000003</v>
      </c>
      <c r="AK15" s="22">
        <v>11523145196.48</v>
      </c>
      <c r="AL15" s="22">
        <v>16511335870.709999</v>
      </c>
      <c r="AM15" s="22">
        <v>12385669384.6</v>
      </c>
      <c r="AN15" s="22">
        <v>10092860478.41</v>
      </c>
      <c r="AO15" s="22">
        <v>3277182292.2399998</v>
      </c>
      <c r="AP15" s="22">
        <v>551013530.45000005</v>
      </c>
      <c r="AQ15" s="22">
        <v>1533669497.0599999</v>
      </c>
      <c r="AR15" s="22">
        <v>2717963868.4899998</v>
      </c>
      <c r="AS15" s="22">
        <v>137534700.25</v>
      </c>
      <c r="AT15" s="22">
        <v>0</v>
      </c>
      <c r="AU15" s="22">
        <v>1073618269.08</v>
      </c>
      <c r="AV15" s="22">
        <v>801878320.84000003</v>
      </c>
      <c r="AW15" s="22">
        <v>346731933.80000001</v>
      </c>
      <c r="AX15" s="22">
        <v>42304095.990000002</v>
      </c>
      <c r="AY15" s="22">
        <v>389036029.79000002</v>
      </c>
      <c r="AZ15" s="22">
        <v>1594670477.8800001</v>
      </c>
      <c r="BA15" s="22">
        <v>181524693.78999999</v>
      </c>
      <c r="BB15" s="22">
        <v>127577704.73</v>
      </c>
      <c r="BC15" s="22">
        <v>492946712.18000001</v>
      </c>
      <c r="BD15" s="22">
        <v>881982741.97000003</v>
      </c>
      <c r="BE15" s="22">
        <v>103625325.19</v>
      </c>
      <c r="BF15" s="22">
        <v>1831141980.5</v>
      </c>
      <c r="BG15" s="22">
        <v>1577095811.1400001</v>
      </c>
      <c r="BH15" s="22">
        <v>132107722.12</v>
      </c>
      <c r="BI15" s="22">
        <v>1948543402.3199999</v>
      </c>
      <c r="BJ15" s="22">
        <v>1050878607.54</v>
      </c>
      <c r="BK15" s="22">
        <v>644548829.09000003</v>
      </c>
      <c r="BL15" s="22">
        <v>3643970838.9499998</v>
      </c>
      <c r="BM15" s="22">
        <v>0</v>
      </c>
      <c r="BN15" s="22">
        <v>0</v>
      </c>
      <c r="BO15" s="22">
        <v>0</v>
      </c>
      <c r="BP15" s="22">
        <v>0</v>
      </c>
      <c r="BQ15" s="22">
        <v>0</v>
      </c>
      <c r="BR15" s="22">
        <v>0</v>
      </c>
      <c r="BS15" s="22">
        <v>0</v>
      </c>
      <c r="BT15" s="22">
        <v>0</v>
      </c>
      <c r="BU15" s="22">
        <v>4756188.6900000004</v>
      </c>
      <c r="BV15" s="22">
        <v>36794687.549999997</v>
      </c>
      <c r="BW15" s="22">
        <v>28425981.879999999</v>
      </c>
      <c r="BX15" s="22">
        <v>0</v>
      </c>
      <c r="BY15" s="22">
        <v>69976858.120000005</v>
      </c>
      <c r="BZ15" s="22">
        <v>0</v>
      </c>
      <c r="CA15" s="22">
        <v>0</v>
      </c>
      <c r="CB15" s="22">
        <v>69976858.120000005</v>
      </c>
      <c r="CC15" s="19">
        <v>32376207</v>
      </c>
      <c r="CD15" s="47"/>
      <c r="CE15" s="19">
        <v>13238571</v>
      </c>
      <c r="CF15" s="19">
        <v>10691154</v>
      </c>
      <c r="CG15" s="19">
        <v>9909090</v>
      </c>
      <c r="CH15" s="19">
        <v>12470107</v>
      </c>
      <c r="CI15" s="19">
        <v>11584550</v>
      </c>
      <c r="CJ15" s="19">
        <v>11729386</v>
      </c>
      <c r="CK15" s="19">
        <v>10922319</v>
      </c>
      <c r="CL15" s="22">
        <v>3162737.73</v>
      </c>
      <c r="CM15" s="22">
        <v>2337121.3199999998</v>
      </c>
      <c r="CN15" s="22">
        <v>211936.91</v>
      </c>
      <c r="CO15" s="22">
        <v>78.3</v>
      </c>
      <c r="CP15" s="22">
        <v>730.57</v>
      </c>
      <c r="CQ15" s="22">
        <v>133715.67000000001</v>
      </c>
      <c r="CR15" s="22">
        <v>2448647.33</v>
      </c>
      <c r="CS15" s="22">
        <v>628359.68000000005</v>
      </c>
      <c r="CT15" s="22">
        <v>421416.99</v>
      </c>
      <c r="CU15" s="22">
        <v>1238577.78</v>
      </c>
      <c r="CV15" s="22">
        <v>1577625.47</v>
      </c>
      <c r="CW15" s="22">
        <v>1771050.92</v>
      </c>
      <c r="CX15" s="22">
        <v>1009585.32</v>
      </c>
      <c r="CY15" s="22">
        <v>134155.98000000001</v>
      </c>
      <c r="CZ15" s="22">
        <v>2622593.13</v>
      </c>
      <c r="DA15" s="19">
        <v>12387082</v>
      </c>
      <c r="DB15" s="47"/>
      <c r="DC15" s="19">
        <v>4133627</v>
      </c>
      <c r="DD15" s="19">
        <v>3488569</v>
      </c>
      <c r="DE15" s="19">
        <v>4920295</v>
      </c>
      <c r="DF15" s="19">
        <v>4451975</v>
      </c>
      <c r="DG15" s="22">
        <v>566685.68999999994</v>
      </c>
      <c r="DH15" s="22">
        <v>533083.71</v>
      </c>
      <c r="DI15" s="22">
        <v>0</v>
      </c>
      <c r="DJ15" s="22">
        <v>0</v>
      </c>
      <c r="DK15" s="22">
        <v>0</v>
      </c>
      <c r="DL15" s="22">
        <v>0</v>
      </c>
      <c r="DM15" s="22">
        <v>602670.74</v>
      </c>
      <c r="DN15" s="22">
        <v>32172.94</v>
      </c>
      <c r="DO15" s="22">
        <v>189364.6</v>
      </c>
      <c r="DP15" s="1"/>
      <c r="DQ15" s="19">
        <v>28974</v>
      </c>
      <c r="DR15" s="19">
        <v>1179758</v>
      </c>
      <c r="DS15" s="19">
        <v>105549087</v>
      </c>
      <c r="DT15" s="19">
        <v>348148</v>
      </c>
      <c r="DU15" s="22">
        <v>22839297.550000001</v>
      </c>
      <c r="DV15" s="19">
        <v>265583256</v>
      </c>
      <c r="DW15" s="19">
        <v>3656850</v>
      </c>
      <c r="DX15" s="19">
        <v>3048417</v>
      </c>
      <c r="DY15" s="19">
        <v>51295</v>
      </c>
      <c r="DZ15" s="19">
        <v>4986317</v>
      </c>
      <c r="EA15" s="19">
        <v>3857958</v>
      </c>
      <c r="EB15" s="19">
        <v>766088</v>
      </c>
      <c r="EC15" s="19">
        <v>1372724</v>
      </c>
      <c r="ED15" s="19">
        <v>509050</v>
      </c>
      <c r="EE15" s="19">
        <v>51267</v>
      </c>
      <c r="EF15" s="19">
        <v>194096</v>
      </c>
      <c r="EG15" s="22">
        <v>6493053.6699999999</v>
      </c>
      <c r="EH15" s="19">
        <v>24773266</v>
      </c>
      <c r="EI15" s="19">
        <v>20420473</v>
      </c>
      <c r="EJ15" s="22">
        <v>827592691.76999998</v>
      </c>
      <c r="EK15" s="22">
        <v>6552993.2199999997</v>
      </c>
      <c r="EL15" s="22">
        <v>42061348.460000001</v>
      </c>
      <c r="EM15" s="22">
        <v>8305285.4800000004</v>
      </c>
      <c r="EN15" s="22">
        <v>523143.75</v>
      </c>
      <c r="EO15" s="22">
        <v>6776353.5499999998</v>
      </c>
      <c r="EP15" s="22">
        <v>27106466.760000002</v>
      </c>
      <c r="EQ15" s="22">
        <v>12692689.26</v>
      </c>
      <c r="ER15" s="22">
        <v>0</v>
      </c>
      <c r="ES15" s="22">
        <v>561928.65</v>
      </c>
      <c r="ET15" s="22">
        <v>12746328.83</v>
      </c>
      <c r="EU15" s="22">
        <v>1551757.14</v>
      </c>
      <c r="EV15" s="22">
        <v>1590542.04</v>
      </c>
      <c r="EW15" s="2"/>
    </row>
    <row r="16" spans="1:153" ht="12" customHeight="1">
      <c r="A16" s="1" t="s">
        <v>330</v>
      </c>
      <c r="B16" s="19">
        <v>1123</v>
      </c>
      <c r="C16" s="19">
        <v>1123</v>
      </c>
      <c r="D16" s="1" t="s">
        <v>5</v>
      </c>
      <c r="E16" s="19">
        <v>1116</v>
      </c>
      <c r="F16" s="19">
        <v>961</v>
      </c>
      <c r="G16" s="20">
        <v>1045</v>
      </c>
      <c r="H16" s="20">
        <v>32</v>
      </c>
      <c r="I16" s="20">
        <v>46</v>
      </c>
      <c r="J16" s="20">
        <v>0</v>
      </c>
      <c r="K16" s="20">
        <v>0</v>
      </c>
      <c r="L16" s="20" t="s">
        <v>5</v>
      </c>
      <c r="M16" s="21" t="s">
        <v>5</v>
      </c>
      <c r="N16" s="19">
        <v>683</v>
      </c>
      <c r="O16" s="1" t="s">
        <v>5</v>
      </c>
      <c r="P16" s="19">
        <v>670</v>
      </c>
      <c r="Q16" s="19">
        <v>477</v>
      </c>
      <c r="R16" s="20">
        <v>668</v>
      </c>
      <c r="S16" s="20">
        <v>11</v>
      </c>
      <c r="T16" s="20">
        <v>4</v>
      </c>
      <c r="U16" s="20">
        <v>36</v>
      </c>
      <c r="V16" s="20">
        <v>4</v>
      </c>
      <c r="W16" s="20" t="s">
        <v>5</v>
      </c>
      <c r="X16" s="21" t="s">
        <v>5</v>
      </c>
      <c r="Y16" s="19">
        <v>60447900</v>
      </c>
      <c r="Z16" s="20" t="s">
        <v>5</v>
      </c>
      <c r="AA16" s="19">
        <v>50047712</v>
      </c>
      <c r="AB16" s="20" t="s">
        <v>5</v>
      </c>
      <c r="AC16" s="19">
        <v>27248</v>
      </c>
      <c r="AD16" s="22">
        <v>29287903511.93</v>
      </c>
      <c r="AE16" s="22">
        <v>28758185878.869999</v>
      </c>
      <c r="AF16" s="22">
        <v>15063360094.17</v>
      </c>
      <c r="AG16" s="22">
        <v>10976534036.389999</v>
      </c>
      <c r="AH16" s="22">
        <v>2686565007.0900002</v>
      </c>
      <c r="AI16" s="22">
        <v>31726741.219999999</v>
      </c>
      <c r="AJ16" s="22">
        <v>529717633.06</v>
      </c>
      <c r="AK16" s="22">
        <v>27744929404.27</v>
      </c>
      <c r="AL16" s="22">
        <v>6455275124.5100002</v>
      </c>
      <c r="AM16" s="22">
        <v>26002301812.779999</v>
      </c>
      <c r="AN16" s="22">
        <v>17497466175.419998</v>
      </c>
      <c r="AO16" s="22">
        <v>5759226377.9499998</v>
      </c>
      <c r="AP16" s="22">
        <v>975387259.62</v>
      </c>
      <c r="AQ16" s="22">
        <v>2858805125.9400001</v>
      </c>
      <c r="AR16" s="22">
        <v>3399260178.5100002</v>
      </c>
      <c r="AS16" s="22">
        <v>687489.26</v>
      </c>
      <c r="AT16" s="22">
        <v>0</v>
      </c>
      <c r="AU16" s="22">
        <v>2131464733.8299999</v>
      </c>
      <c r="AV16" s="22">
        <v>2372635010.3099999</v>
      </c>
      <c r="AW16" s="22">
        <v>1374342715.1900001</v>
      </c>
      <c r="AX16" s="22">
        <v>103866493.84999999</v>
      </c>
      <c r="AY16" s="22">
        <v>1478209209.04</v>
      </c>
      <c r="AZ16" s="22">
        <v>4414336133.8299999</v>
      </c>
      <c r="BA16" s="22">
        <v>1288466942.51</v>
      </c>
      <c r="BB16" s="22">
        <v>1323823351.8399999</v>
      </c>
      <c r="BC16" s="22">
        <v>1525998408.99</v>
      </c>
      <c r="BD16" s="22">
        <v>3004207618.0300002</v>
      </c>
      <c r="BE16" s="22">
        <v>423679664.12</v>
      </c>
      <c r="BF16" s="22">
        <v>2909525768.8099999</v>
      </c>
      <c r="BG16" s="22">
        <v>3698512384.4000001</v>
      </c>
      <c r="BH16" s="22">
        <v>735266976.19000006</v>
      </c>
      <c r="BI16" s="22">
        <v>5007832799.8100004</v>
      </c>
      <c r="BJ16" s="22">
        <v>2755440993.71</v>
      </c>
      <c r="BK16" s="22">
        <v>3711000</v>
      </c>
      <c r="BL16" s="22">
        <v>7766984793.5200005</v>
      </c>
      <c r="BM16" s="22">
        <v>0</v>
      </c>
      <c r="BN16" s="22">
        <v>724173.57</v>
      </c>
      <c r="BO16" s="22">
        <v>1882389.59</v>
      </c>
      <c r="BP16" s="22">
        <v>21392.400000000001</v>
      </c>
      <c r="BQ16" s="22">
        <v>2627955.56</v>
      </c>
      <c r="BR16" s="22">
        <v>0</v>
      </c>
      <c r="BS16" s="22">
        <v>0</v>
      </c>
      <c r="BT16" s="22">
        <v>2627955.56</v>
      </c>
      <c r="BU16" s="22">
        <v>0</v>
      </c>
      <c r="BV16" s="22">
        <v>0</v>
      </c>
      <c r="BW16" s="22">
        <v>0</v>
      </c>
      <c r="BX16" s="22">
        <v>0</v>
      </c>
      <c r="BY16" s="22">
        <v>0</v>
      </c>
      <c r="BZ16" s="22">
        <v>0</v>
      </c>
      <c r="CA16" s="22">
        <v>0</v>
      </c>
      <c r="CB16" s="22">
        <v>0</v>
      </c>
      <c r="CC16" s="19">
        <v>42710768</v>
      </c>
      <c r="CD16" s="47"/>
      <c r="CE16" s="19">
        <v>16333991</v>
      </c>
      <c r="CF16" s="19">
        <v>14817035</v>
      </c>
      <c r="CG16" s="19">
        <v>14737834</v>
      </c>
      <c r="CH16" s="19">
        <v>19800214</v>
      </c>
      <c r="CI16" s="19">
        <v>19639449</v>
      </c>
      <c r="CJ16" s="19">
        <v>18198569</v>
      </c>
      <c r="CK16" s="19">
        <v>18044884</v>
      </c>
      <c r="CL16" s="22">
        <v>6085528.5</v>
      </c>
      <c r="CM16" s="22">
        <v>5752744.2300000004</v>
      </c>
      <c r="CN16" s="22">
        <v>259263.61</v>
      </c>
      <c r="CO16" s="22">
        <v>0</v>
      </c>
      <c r="CP16" s="22">
        <v>0</v>
      </c>
      <c r="CQ16" s="22">
        <v>1640082.06</v>
      </c>
      <c r="CR16" s="22">
        <v>5375681.7999999998</v>
      </c>
      <c r="CS16" s="22">
        <v>709756</v>
      </c>
      <c r="CT16" s="22">
        <v>5690177.8700000001</v>
      </c>
      <c r="CU16" s="22">
        <v>2607823.0299999998</v>
      </c>
      <c r="CV16" s="22">
        <v>4386393.59</v>
      </c>
      <c r="CW16" s="22">
        <v>4897674.01</v>
      </c>
      <c r="CX16" s="22">
        <v>2229721.85</v>
      </c>
      <c r="CY16" s="22">
        <v>167742.21</v>
      </c>
      <c r="CZ16" s="22">
        <v>4017752.25</v>
      </c>
      <c r="DA16" s="19">
        <v>35814139</v>
      </c>
      <c r="DB16" s="47"/>
      <c r="DC16" s="19">
        <v>12538258</v>
      </c>
      <c r="DD16" s="19">
        <v>11477188</v>
      </c>
      <c r="DE16" s="19">
        <v>15961511</v>
      </c>
      <c r="DF16" s="19">
        <v>14665643</v>
      </c>
      <c r="DG16" s="22">
        <v>1812041.49</v>
      </c>
      <c r="DH16" s="22">
        <v>1578167.09</v>
      </c>
      <c r="DI16" s="22">
        <v>0</v>
      </c>
      <c r="DJ16" s="22">
        <v>0</v>
      </c>
      <c r="DK16" s="22">
        <v>22336</v>
      </c>
      <c r="DL16" s="22">
        <v>22336</v>
      </c>
      <c r="DM16" s="22">
        <v>2473798.6</v>
      </c>
      <c r="DN16" s="22">
        <v>100255.25</v>
      </c>
      <c r="DO16" s="22">
        <v>582925.79</v>
      </c>
      <c r="DP16" s="1"/>
      <c r="DQ16" s="19">
        <v>6534</v>
      </c>
      <c r="DR16" s="19">
        <v>123240</v>
      </c>
      <c r="DS16" s="19">
        <v>32150550</v>
      </c>
      <c r="DT16" s="19">
        <v>2118</v>
      </c>
      <c r="DU16" s="22">
        <v>22857</v>
      </c>
      <c r="DV16" s="19">
        <v>2765907</v>
      </c>
      <c r="DW16" s="19">
        <v>4124992</v>
      </c>
      <c r="DX16" s="19">
        <v>5104787</v>
      </c>
      <c r="DY16" s="19">
        <v>3007</v>
      </c>
      <c r="DZ16" s="19">
        <v>4135544</v>
      </c>
      <c r="EA16" s="19">
        <v>4909968</v>
      </c>
      <c r="EB16" s="19">
        <v>21198</v>
      </c>
      <c r="EC16" s="19">
        <v>419764</v>
      </c>
      <c r="ED16" s="19">
        <v>497748</v>
      </c>
      <c r="EE16" s="19">
        <v>4087</v>
      </c>
      <c r="EF16" s="19">
        <v>252777</v>
      </c>
      <c r="EG16" s="22">
        <v>4137659.7</v>
      </c>
      <c r="EH16" s="19">
        <v>16497873</v>
      </c>
      <c r="EI16" s="19">
        <v>7598550</v>
      </c>
      <c r="EJ16" s="22">
        <v>1014109248.26</v>
      </c>
      <c r="EK16" s="22">
        <v>13421163.449999999</v>
      </c>
      <c r="EL16" s="22">
        <v>89987504.379999995</v>
      </c>
      <c r="EM16" s="22">
        <v>34171935.880000003</v>
      </c>
      <c r="EN16" s="22">
        <v>4169567.11</v>
      </c>
      <c r="EO16" s="22">
        <v>9915757.1500000004</v>
      </c>
      <c r="EP16" s="22">
        <v>45910974.109999999</v>
      </c>
      <c r="EQ16" s="22">
        <v>29142918.579999998</v>
      </c>
      <c r="ER16" s="22">
        <v>0</v>
      </c>
      <c r="ES16" s="22">
        <v>5586640.4000000004</v>
      </c>
      <c r="ET16" s="22">
        <v>14844400.970000001</v>
      </c>
      <c r="EU16" s="22">
        <v>7581527.5</v>
      </c>
      <c r="EV16" s="22">
        <v>8998600.7899999991</v>
      </c>
      <c r="EW16" s="2"/>
    </row>
    <row r="17" spans="1:153" ht="12" customHeight="1">
      <c r="A17" s="1" t="s">
        <v>331</v>
      </c>
      <c r="B17" s="19">
        <v>854</v>
      </c>
      <c r="C17" s="19">
        <v>854</v>
      </c>
      <c r="D17" s="1" t="s">
        <v>5</v>
      </c>
      <c r="E17" s="19">
        <v>854</v>
      </c>
      <c r="F17" s="19">
        <v>410</v>
      </c>
      <c r="G17" s="20">
        <v>812</v>
      </c>
      <c r="H17" s="20">
        <v>40</v>
      </c>
      <c r="I17" s="20">
        <v>2</v>
      </c>
      <c r="J17" s="20">
        <v>1</v>
      </c>
      <c r="K17" s="20"/>
      <c r="L17" s="20" t="s">
        <v>5</v>
      </c>
      <c r="M17" s="21" t="s">
        <v>5</v>
      </c>
      <c r="N17" s="19">
        <v>293</v>
      </c>
      <c r="O17" s="1" t="s">
        <v>5</v>
      </c>
      <c r="P17" s="19">
        <v>290</v>
      </c>
      <c r="Q17" s="19">
        <v>28</v>
      </c>
      <c r="R17" s="20">
        <v>282</v>
      </c>
      <c r="S17" s="20">
        <v>11</v>
      </c>
      <c r="T17" s="20"/>
      <c r="U17" s="20">
        <v>529</v>
      </c>
      <c r="V17" s="20">
        <v>22</v>
      </c>
      <c r="W17" s="20" t="s">
        <v>5</v>
      </c>
      <c r="X17" s="21" t="s">
        <v>5</v>
      </c>
      <c r="Y17" s="19">
        <v>21393071</v>
      </c>
      <c r="Z17" s="20" t="s">
        <v>5</v>
      </c>
      <c r="AA17" s="19">
        <v>15927813</v>
      </c>
      <c r="AB17" s="20" t="s">
        <v>5</v>
      </c>
      <c r="AC17" s="19">
        <v>14247</v>
      </c>
      <c r="AD17" s="22">
        <v>11540278716.65</v>
      </c>
      <c r="AE17" s="22">
        <v>11279447031.290001</v>
      </c>
      <c r="AF17" s="22">
        <v>8444375536.5900002</v>
      </c>
      <c r="AG17" s="22">
        <v>2809044361.5799999</v>
      </c>
      <c r="AH17" s="22">
        <v>26027133.120000001</v>
      </c>
      <c r="AI17" s="22">
        <v>0</v>
      </c>
      <c r="AJ17" s="22">
        <v>260831685.36000001</v>
      </c>
      <c r="AK17" s="22">
        <v>11039657622</v>
      </c>
      <c r="AL17" s="22">
        <v>2880430545.4000001</v>
      </c>
      <c r="AM17" s="22">
        <v>10410669624.84</v>
      </c>
      <c r="AN17" s="22">
        <v>7603581628.1300001</v>
      </c>
      <c r="AO17" s="22">
        <v>3129937090.04</v>
      </c>
      <c r="AP17" s="22">
        <v>360637449.82999998</v>
      </c>
      <c r="AQ17" s="22">
        <v>975702425.84000003</v>
      </c>
      <c r="AR17" s="22">
        <v>1529665341.04</v>
      </c>
      <c r="AS17" s="22">
        <v>7007365.54</v>
      </c>
      <c r="AT17" s="22">
        <v>0</v>
      </c>
      <c r="AU17" s="22">
        <v>945208003.08000004</v>
      </c>
      <c r="AV17" s="22">
        <v>655423952.75999999</v>
      </c>
      <c r="AW17" s="22">
        <v>571799391.75</v>
      </c>
      <c r="AX17" s="22">
        <v>115576149.55</v>
      </c>
      <c r="AY17" s="22">
        <v>687375541.29999995</v>
      </c>
      <c r="AZ17" s="22">
        <v>965964196.25</v>
      </c>
      <c r="BA17" s="22">
        <v>497103654.36000001</v>
      </c>
      <c r="BB17" s="22">
        <v>656644604.79999995</v>
      </c>
      <c r="BC17" s="22">
        <v>500486487.97000003</v>
      </c>
      <c r="BD17" s="22">
        <v>1187862029.27</v>
      </c>
      <c r="BE17" s="22">
        <v>28974682.629999999</v>
      </c>
      <c r="BF17" s="22">
        <v>1230938489.8299999</v>
      </c>
      <c r="BG17" s="22">
        <v>1441829479.8199999</v>
      </c>
      <c r="BH17" s="22">
        <v>230656783.61000001</v>
      </c>
      <c r="BI17" s="22">
        <v>1814492364.4300001</v>
      </c>
      <c r="BJ17" s="22">
        <v>1042226864.1900001</v>
      </c>
      <c r="BK17" s="22">
        <v>75680207.269999996</v>
      </c>
      <c r="BL17" s="22">
        <v>2932399435.8899999</v>
      </c>
      <c r="BM17" s="22">
        <v>0</v>
      </c>
      <c r="BN17" s="22">
        <v>0</v>
      </c>
      <c r="BO17" s="22">
        <v>0</v>
      </c>
      <c r="BP17" s="22">
        <v>0</v>
      </c>
      <c r="BQ17" s="22">
        <v>0</v>
      </c>
      <c r="BR17" s="22">
        <v>0</v>
      </c>
      <c r="BS17" s="22">
        <v>0</v>
      </c>
      <c r="BT17" s="22">
        <v>0</v>
      </c>
      <c r="BU17" s="22">
        <v>0</v>
      </c>
      <c r="BV17" s="22">
        <v>0</v>
      </c>
      <c r="BW17" s="22">
        <v>0</v>
      </c>
      <c r="BX17" s="22">
        <v>0</v>
      </c>
      <c r="BY17" s="22">
        <v>0</v>
      </c>
      <c r="BZ17" s="22">
        <v>0</v>
      </c>
      <c r="CA17" s="22">
        <v>0</v>
      </c>
      <c r="CB17" s="22">
        <v>0</v>
      </c>
      <c r="CC17" s="19">
        <v>19332788</v>
      </c>
      <c r="CD17" s="47"/>
      <c r="CE17" s="19">
        <v>6810097</v>
      </c>
      <c r="CF17" s="19">
        <v>6272660</v>
      </c>
      <c r="CG17" s="19">
        <v>6266855</v>
      </c>
      <c r="CH17" s="19">
        <v>8344717</v>
      </c>
      <c r="CI17" s="19">
        <v>8338114</v>
      </c>
      <c r="CJ17" s="19">
        <v>7518238</v>
      </c>
      <c r="CK17" s="19">
        <v>7512201</v>
      </c>
      <c r="CL17" s="22">
        <v>1647115.05</v>
      </c>
      <c r="CM17" s="22">
        <v>1501205.94</v>
      </c>
      <c r="CN17" s="22">
        <v>36912.620000000003</v>
      </c>
      <c r="CO17" s="22">
        <v>2640.56</v>
      </c>
      <c r="CP17" s="22">
        <v>0</v>
      </c>
      <c r="CQ17" s="22">
        <v>22792.400000000001</v>
      </c>
      <c r="CR17" s="22">
        <v>1369092.27</v>
      </c>
      <c r="CS17" s="22">
        <v>277980.90000000002</v>
      </c>
      <c r="CT17" s="22">
        <v>1645126.61</v>
      </c>
      <c r="CU17" s="22">
        <v>954121.69</v>
      </c>
      <c r="CV17" s="22">
        <v>992107.18</v>
      </c>
      <c r="CW17" s="22">
        <v>991657.15</v>
      </c>
      <c r="CX17" s="22">
        <v>816425.53</v>
      </c>
      <c r="CY17" s="22">
        <v>111578.35</v>
      </c>
      <c r="CZ17" s="22">
        <v>1264684.3999999999</v>
      </c>
      <c r="DA17" s="19">
        <v>10448849</v>
      </c>
      <c r="DB17" s="47"/>
      <c r="DC17" s="19">
        <v>3112210</v>
      </c>
      <c r="DD17" s="19">
        <v>2863375</v>
      </c>
      <c r="DE17" s="19">
        <v>4196857</v>
      </c>
      <c r="DF17" s="19">
        <v>3770072</v>
      </c>
      <c r="DG17" s="22">
        <v>488667.86</v>
      </c>
      <c r="DH17" s="22">
        <v>485648.97</v>
      </c>
      <c r="DI17" s="22">
        <v>0</v>
      </c>
      <c r="DJ17" s="22">
        <v>0</v>
      </c>
      <c r="DK17" s="22">
        <v>3746.51</v>
      </c>
      <c r="DL17" s="22">
        <v>3746.51</v>
      </c>
      <c r="DM17" s="22">
        <v>504413.31</v>
      </c>
      <c r="DN17" s="22">
        <v>46005.69</v>
      </c>
      <c r="DO17" s="22">
        <v>134899.81</v>
      </c>
      <c r="DP17" s="1"/>
      <c r="DQ17" s="19">
        <v>5043</v>
      </c>
      <c r="DR17" s="19">
        <v>45280</v>
      </c>
      <c r="DS17" s="19">
        <v>21028129</v>
      </c>
      <c r="DT17" s="19">
        <v>5203</v>
      </c>
      <c r="DU17" s="22">
        <v>3405.12</v>
      </c>
      <c r="DV17" s="19">
        <v>658302</v>
      </c>
      <c r="DW17" s="19">
        <v>1583422</v>
      </c>
      <c r="DX17" s="19">
        <v>1840993</v>
      </c>
      <c r="DY17" s="19">
        <v>17628</v>
      </c>
      <c r="DZ17" s="19">
        <v>1582331</v>
      </c>
      <c r="EA17" s="19">
        <v>1822005</v>
      </c>
      <c r="EB17" s="19">
        <v>5936</v>
      </c>
      <c r="EC17" s="19">
        <v>357200</v>
      </c>
      <c r="ED17" s="19">
        <v>364469</v>
      </c>
      <c r="EE17" s="19">
        <v>1857</v>
      </c>
      <c r="EF17" s="19">
        <v>11994</v>
      </c>
      <c r="EG17" s="22">
        <v>57778.03</v>
      </c>
      <c r="EH17" s="19">
        <v>11877752</v>
      </c>
      <c r="EI17" s="19">
        <v>9056729</v>
      </c>
      <c r="EJ17" s="22">
        <v>570132616.25</v>
      </c>
      <c r="EK17" s="22">
        <v>5724587</v>
      </c>
      <c r="EL17" s="22">
        <v>29486283</v>
      </c>
      <c r="EM17" s="22">
        <v>10445780</v>
      </c>
      <c r="EN17" s="22">
        <v>2037346</v>
      </c>
      <c r="EO17" s="22">
        <v>4444452</v>
      </c>
      <c r="EP17" s="22">
        <v>14594967</v>
      </c>
      <c r="EQ17" s="22">
        <v>11690420</v>
      </c>
      <c r="ER17" s="22">
        <v>18266</v>
      </c>
      <c r="ES17" s="22">
        <v>2701966</v>
      </c>
      <c r="ET17" s="22">
        <v>5300788</v>
      </c>
      <c r="EU17" s="22">
        <v>2795591</v>
      </c>
      <c r="EV17" s="22">
        <v>3460211</v>
      </c>
      <c r="EW17" s="2"/>
    </row>
    <row r="18" spans="1:153" ht="12" customHeight="1">
      <c r="A18" s="1" t="s">
        <v>332</v>
      </c>
      <c r="B18" s="19">
        <v>295</v>
      </c>
      <c r="C18" s="19">
        <v>295</v>
      </c>
      <c r="D18" s="1" t="s">
        <v>5</v>
      </c>
      <c r="E18" s="19">
        <v>295</v>
      </c>
      <c r="F18" s="19">
        <v>146</v>
      </c>
      <c r="G18" s="20">
        <v>189</v>
      </c>
      <c r="H18" s="20">
        <v>106</v>
      </c>
      <c r="I18" s="20">
        <v>0</v>
      </c>
      <c r="J18" s="20">
        <v>0</v>
      </c>
      <c r="K18" s="20">
        <v>0</v>
      </c>
      <c r="L18" s="20" t="s">
        <v>5</v>
      </c>
      <c r="M18" s="21" t="s">
        <v>5</v>
      </c>
      <c r="N18" s="19">
        <v>135</v>
      </c>
      <c r="O18" s="1" t="s">
        <v>5</v>
      </c>
      <c r="P18" s="19">
        <v>135</v>
      </c>
      <c r="Q18" s="19">
        <v>2</v>
      </c>
      <c r="R18" s="20">
        <v>97</v>
      </c>
      <c r="S18" s="20">
        <v>38</v>
      </c>
      <c r="T18" s="20">
        <v>0</v>
      </c>
      <c r="U18" s="20">
        <v>70</v>
      </c>
      <c r="V18" s="20">
        <v>68</v>
      </c>
      <c r="W18" s="20" t="s">
        <v>5</v>
      </c>
      <c r="X18" s="21" t="s">
        <v>5</v>
      </c>
      <c r="Y18" s="19">
        <v>11044328</v>
      </c>
      <c r="Z18" s="20" t="s">
        <v>5</v>
      </c>
      <c r="AA18" s="19">
        <v>9942592</v>
      </c>
      <c r="AB18" s="20" t="s">
        <v>5</v>
      </c>
      <c r="AC18" s="19">
        <v>9325</v>
      </c>
      <c r="AD18" s="22">
        <v>5993644434.1300001</v>
      </c>
      <c r="AE18" s="22">
        <v>5739048886.9899998</v>
      </c>
      <c r="AF18" s="22">
        <v>3531770342.4299998</v>
      </c>
      <c r="AG18" s="22">
        <v>2193899549.3000002</v>
      </c>
      <c r="AH18" s="22">
        <v>5932940.21</v>
      </c>
      <c r="AI18" s="22">
        <v>7446055.0499999998</v>
      </c>
      <c r="AJ18" s="22">
        <v>254595547.13999999</v>
      </c>
      <c r="AK18" s="22">
        <v>5860673854.0100002</v>
      </c>
      <c r="AL18" s="22">
        <v>1292057514.23</v>
      </c>
      <c r="AM18" s="22">
        <v>5268485031.0600004</v>
      </c>
      <c r="AN18" s="22">
        <v>4670740487.1599998</v>
      </c>
      <c r="AO18" s="22">
        <v>1911020713.5899999</v>
      </c>
      <c r="AP18" s="22">
        <v>110175681.48999999</v>
      </c>
      <c r="AQ18" s="22">
        <v>530865009.80000001</v>
      </c>
      <c r="AR18" s="22">
        <v>631667466.05999994</v>
      </c>
      <c r="AS18" s="22">
        <v>30099222.809999999</v>
      </c>
      <c r="AT18" s="22">
        <v>0</v>
      </c>
      <c r="AU18" s="22">
        <v>440853762.25</v>
      </c>
      <c r="AV18" s="22">
        <v>1016058631.16</v>
      </c>
      <c r="AW18" s="22">
        <v>210227795.83000001</v>
      </c>
      <c r="AX18" s="22">
        <v>27461822.809999999</v>
      </c>
      <c r="AY18" s="22">
        <v>237689618.63999999</v>
      </c>
      <c r="AZ18" s="22">
        <v>402079795.94</v>
      </c>
      <c r="BA18" s="22">
        <v>159962950.15000001</v>
      </c>
      <c r="BB18" s="22">
        <v>-201987820.83000001</v>
      </c>
      <c r="BC18" s="22">
        <v>410981237.18000001</v>
      </c>
      <c r="BD18" s="22">
        <v>648670855.82000005</v>
      </c>
      <c r="BE18" s="22">
        <v>133201418.73999999</v>
      </c>
      <c r="BF18" s="22">
        <v>313424409.85000002</v>
      </c>
      <c r="BG18" s="22">
        <v>924668360.24000001</v>
      </c>
      <c r="BH18" s="22">
        <v>220874229.18000001</v>
      </c>
      <c r="BI18" s="22">
        <v>1033135143.5700001</v>
      </c>
      <c r="BJ18" s="22">
        <v>480443044.01999998</v>
      </c>
      <c r="BK18" s="22">
        <v>78590230.420000002</v>
      </c>
      <c r="BL18" s="22">
        <v>1592168418.01</v>
      </c>
      <c r="BM18" s="22">
        <v>0</v>
      </c>
      <c r="BN18" s="22">
        <v>0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0</v>
      </c>
      <c r="BV18" s="22">
        <v>0</v>
      </c>
      <c r="BW18" s="22">
        <v>6958674.9699999997</v>
      </c>
      <c r="BX18" s="22">
        <v>0</v>
      </c>
      <c r="BY18" s="22">
        <v>0</v>
      </c>
      <c r="BZ18" s="22">
        <v>0</v>
      </c>
      <c r="CA18" s="22">
        <v>6958674.9699999997</v>
      </c>
      <c r="CB18" s="22">
        <v>6958674.9699999997</v>
      </c>
      <c r="CC18" s="19">
        <v>9888718</v>
      </c>
      <c r="CD18" s="47"/>
      <c r="CE18" s="19">
        <v>3927561</v>
      </c>
      <c r="CF18" s="19">
        <v>3635315</v>
      </c>
      <c r="CG18" s="19">
        <v>3622050</v>
      </c>
      <c r="CH18" s="19">
        <v>4255434</v>
      </c>
      <c r="CI18" s="19">
        <v>4227689</v>
      </c>
      <c r="CJ18" s="19">
        <v>3889440</v>
      </c>
      <c r="CK18" s="19">
        <v>3871140</v>
      </c>
      <c r="CL18" s="22">
        <v>791593.22</v>
      </c>
      <c r="CM18" s="22">
        <v>776504.16</v>
      </c>
      <c r="CN18" s="22">
        <v>17919.78</v>
      </c>
      <c r="CO18" s="22">
        <v>0</v>
      </c>
      <c r="CP18" s="22">
        <v>0</v>
      </c>
      <c r="CQ18" s="22">
        <v>1015.41</v>
      </c>
      <c r="CR18" s="22">
        <v>601793.31000000006</v>
      </c>
      <c r="CS18" s="22">
        <v>189069.15</v>
      </c>
      <c r="CT18" s="22">
        <v>664732.29</v>
      </c>
      <c r="CU18" s="22">
        <v>516297.74</v>
      </c>
      <c r="CV18" s="22">
        <v>530776.25</v>
      </c>
      <c r="CW18" s="22">
        <v>556793.66</v>
      </c>
      <c r="CX18" s="22">
        <v>448105.17</v>
      </c>
      <c r="CY18" s="22">
        <v>53072.2</v>
      </c>
      <c r="CZ18" s="22">
        <v>652746.74</v>
      </c>
      <c r="DA18" s="19">
        <v>7534047</v>
      </c>
      <c r="DB18" s="47"/>
      <c r="DC18" s="19">
        <v>2462050</v>
      </c>
      <c r="DD18" s="19">
        <v>2336535</v>
      </c>
      <c r="DE18" s="19">
        <v>2916737</v>
      </c>
      <c r="DF18" s="19">
        <v>2656985</v>
      </c>
      <c r="DG18" s="22">
        <v>353719.71</v>
      </c>
      <c r="DH18" s="22">
        <v>341980.47</v>
      </c>
      <c r="DI18" s="22">
        <v>0</v>
      </c>
      <c r="DJ18" s="22">
        <v>0</v>
      </c>
      <c r="DK18" s="22">
        <v>1234.8399999999999</v>
      </c>
      <c r="DL18" s="22">
        <v>1234.8399999999999</v>
      </c>
      <c r="DM18" s="22">
        <v>368106.74</v>
      </c>
      <c r="DN18" s="22">
        <v>28766.7</v>
      </c>
      <c r="DO18" s="22">
        <v>105040.37</v>
      </c>
      <c r="DP18" s="1"/>
      <c r="DQ18" s="19">
        <v>2569</v>
      </c>
      <c r="DR18" s="19">
        <v>41530</v>
      </c>
      <c r="DS18" s="19">
        <v>14868851</v>
      </c>
      <c r="DT18" s="19">
        <v>368</v>
      </c>
      <c r="DU18" s="22">
        <v>11086.8</v>
      </c>
      <c r="DV18" s="19">
        <v>3362761</v>
      </c>
      <c r="DW18" s="19">
        <v>264948</v>
      </c>
      <c r="DX18" s="19">
        <v>291382</v>
      </c>
      <c r="DY18" s="19">
        <v>6483</v>
      </c>
      <c r="DZ18" s="19">
        <v>265172</v>
      </c>
      <c r="EA18" s="19">
        <v>289896</v>
      </c>
      <c r="EB18" s="19">
        <v>12317</v>
      </c>
      <c r="EC18" s="19">
        <v>219623</v>
      </c>
      <c r="ED18" s="19">
        <v>180325</v>
      </c>
      <c r="EE18" s="19">
        <v>1746</v>
      </c>
      <c r="EF18" s="19">
        <v>52402</v>
      </c>
      <c r="EG18" s="22">
        <v>473982.73</v>
      </c>
      <c r="EH18" s="19">
        <v>6744940</v>
      </c>
      <c r="EI18" s="19">
        <v>6380923</v>
      </c>
      <c r="EJ18" s="22">
        <v>331462149.58999997</v>
      </c>
      <c r="EK18" s="22">
        <v>2532773.02</v>
      </c>
      <c r="EL18" s="22">
        <v>11542105.359999999</v>
      </c>
      <c r="EM18" s="22">
        <v>4338732.66</v>
      </c>
      <c r="EN18" s="22">
        <v>964774.54</v>
      </c>
      <c r="EO18" s="22">
        <v>1581157.4</v>
      </c>
      <c r="EP18" s="22">
        <v>5622215.3099999996</v>
      </c>
      <c r="EQ18" s="22">
        <v>5055051.92</v>
      </c>
      <c r="ER18" s="22">
        <v>0</v>
      </c>
      <c r="ES18" s="22">
        <v>1059010.45</v>
      </c>
      <c r="ET18" s="22">
        <v>3902122.14</v>
      </c>
      <c r="EU18" s="22">
        <v>1189129.8899999999</v>
      </c>
      <c r="EV18" s="22">
        <v>1283365.8</v>
      </c>
      <c r="EW18" s="2"/>
    </row>
    <row r="19" spans="1:153" ht="12" customHeight="1">
      <c r="A19" s="23" t="s">
        <v>333</v>
      </c>
      <c r="B19" s="24">
        <v>4015</v>
      </c>
      <c r="C19" s="24">
        <v>4015</v>
      </c>
      <c r="D19" s="18" t="s">
        <v>5</v>
      </c>
      <c r="E19" s="24">
        <v>3959</v>
      </c>
      <c r="F19" s="25">
        <f>SUM(F14:F18)</f>
        <v>4528</v>
      </c>
      <c r="G19" s="24">
        <v>3289</v>
      </c>
      <c r="H19" s="24">
        <v>540</v>
      </c>
      <c r="I19" s="24">
        <v>186</v>
      </c>
      <c r="J19" s="24">
        <v>1</v>
      </c>
      <c r="K19" s="24">
        <v>0</v>
      </c>
      <c r="L19" s="24" t="s">
        <v>5</v>
      </c>
      <c r="M19" s="26" t="s">
        <v>5</v>
      </c>
      <c r="N19" s="24">
        <v>1495</v>
      </c>
      <c r="O19" s="18" t="s">
        <v>5</v>
      </c>
      <c r="P19" s="24">
        <v>1463</v>
      </c>
      <c r="Q19" s="25">
        <f>SUM(Q14:Q18)</f>
        <v>631</v>
      </c>
      <c r="R19" s="24">
        <v>1352</v>
      </c>
      <c r="S19" s="24">
        <v>110</v>
      </c>
      <c r="T19" s="24">
        <v>32</v>
      </c>
      <c r="U19" s="24">
        <v>1370</v>
      </c>
      <c r="V19" s="24">
        <v>300</v>
      </c>
      <c r="W19" s="24" t="s">
        <v>5</v>
      </c>
      <c r="X19" s="26" t="s">
        <v>5</v>
      </c>
      <c r="Y19" s="24">
        <v>149956023</v>
      </c>
      <c r="Z19" s="24" t="s">
        <v>334</v>
      </c>
      <c r="AA19" s="24">
        <v>110427315</v>
      </c>
      <c r="AB19" s="24" t="s">
        <v>334</v>
      </c>
      <c r="AC19" s="25">
        <f t="shared" ref="AC19:BH19" si="0">SUM(AC14:AC18)</f>
        <v>74786</v>
      </c>
      <c r="AD19" s="25">
        <f t="shared" si="0"/>
        <v>60953955801.699997</v>
      </c>
      <c r="AE19" s="25">
        <f t="shared" si="0"/>
        <v>59285810501.899994</v>
      </c>
      <c r="AF19" s="25">
        <f t="shared" si="0"/>
        <v>37077323710.089996</v>
      </c>
      <c r="AG19" s="25">
        <f t="shared" si="0"/>
        <v>19199291461.130001</v>
      </c>
      <c r="AH19" s="25">
        <f t="shared" si="0"/>
        <v>2952902961.1199999</v>
      </c>
      <c r="AI19" s="25">
        <f t="shared" si="0"/>
        <v>56292369.559999995</v>
      </c>
      <c r="AJ19" s="25">
        <f t="shared" si="0"/>
        <v>1668145299.7999997</v>
      </c>
      <c r="AK19" s="25">
        <f t="shared" si="0"/>
        <v>57528625009.599998</v>
      </c>
      <c r="AL19" s="25">
        <f t="shared" si="0"/>
        <v>27652462940.52</v>
      </c>
      <c r="AM19" s="25">
        <f t="shared" si="0"/>
        <v>56161290174.229996</v>
      </c>
      <c r="AN19" s="25">
        <f t="shared" si="0"/>
        <v>41321478472.229996</v>
      </c>
      <c r="AO19" s="25">
        <f t="shared" si="0"/>
        <v>14679865104.740002</v>
      </c>
      <c r="AP19" s="25">
        <f t="shared" si="0"/>
        <v>2055909792.5599999</v>
      </c>
      <c r="AQ19" s="25">
        <f t="shared" si="0"/>
        <v>6116283212.4300003</v>
      </c>
      <c r="AR19" s="25">
        <f t="shared" si="0"/>
        <v>8535950353.210001</v>
      </c>
      <c r="AS19" s="25">
        <f t="shared" si="0"/>
        <v>175328777.85999998</v>
      </c>
      <c r="AT19" s="25">
        <f t="shared" si="0"/>
        <v>0</v>
      </c>
      <c r="AU19" s="25">
        <f t="shared" si="0"/>
        <v>4729414628.75</v>
      </c>
      <c r="AV19" s="25">
        <f t="shared" si="0"/>
        <v>5028726602.6800003</v>
      </c>
      <c r="AW19" s="25">
        <f t="shared" si="0"/>
        <v>2704956406.3800001</v>
      </c>
      <c r="AX19" s="25">
        <f t="shared" si="0"/>
        <v>297232739.68000001</v>
      </c>
      <c r="AY19" s="25">
        <f t="shared" si="0"/>
        <v>3002189146.0599999</v>
      </c>
      <c r="AZ19" s="25">
        <f t="shared" si="0"/>
        <v>7706282435.29</v>
      </c>
      <c r="BA19" s="25">
        <f t="shared" si="0"/>
        <v>2161799366.7200003</v>
      </c>
      <c r="BB19" s="25">
        <f t="shared" si="0"/>
        <v>1969540753.79</v>
      </c>
      <c r="BC19" s="25">
        <f t="shared" si="0"/>
        <v>3075357145.4500003</v>
      </c>
      <c r="BD19" s="25">
        <f t="shared" si="0"/>
        <v>6077546291.5100002</v>
      </c>
      <c r="BE19" s="25">
        <f t="shared" si="0"/>
        <v>689481090.68000007</v>
      </c>
      <c r="BF19" s="25">
        <f t="shared" si="0"/>
        <v>6445539572.3000002</v>
      </c>
      <c r="BG19" s="25">
        <f t="shared" si="0"/>
        <v>7843008548.6899996</v>
      </c>
      <c r="BH19" s="25">
        <f t="shared" si="0"/>
        <v>1332393752.1600001</v>
      </c>
      <c r="BI19" s="25">
        <f t="shared" ref="BI19:CN19" si="1">SUM(BI14:BI18)</f>
        <v>9972377776.3899994</v>
      </c>
      <c r="BJ19" s="25">
        <f t="shared" si="1"/>
        <v>5523169970.3400002</v>
      </c>
      <c r="BK19" s="25">
        <f t="shared" si="1"/>
        <v>814875217.10000002</v>
      </c>
      <c r="BL19" s="25">
        <f t="shared" si="1"/>
        <v>16310422963.83</v>
      </c>
      <c r="BM19" s="25">
        <f t="shared" si="1"/>
        <v>0</v>
      </c>
      <c r="BN19" s="25">
        <f t="shared" si="1"/>
        <v>724173.57</v>
      </c>
      <c r="BO19" s="25">
        <f t="shared" si="1"/>
        <v>1882389.59</v>
      </c>
      <c r="BP19" s="25">
        <f t="shared" si="1"/>
        <v>21392.400000000001</v>
      </c>
      <c r="BQ19" s="25">
        <f t="shared" si="1"/>
        <v>2627955.56</v>
      </c>
      <c r="BR19" s="25">
        <f t="shared" si="1"/>
        <v>0</v>
      </c>
      <c r="BS19" s="25">
        <f t="shared" si="1"/>
        <v>0</v>
      </c>
      <c r="BT19" s="25">
        <f t="shared" si="1"/>
        <v>2627955.56</v>
      </c>
      <c r="BU19" s="25">
        <f t="shared" si="1"/>
        <v>4756188.6900000004</v>
      </c>
      <c r="BV19" s="25">
        <f t="shared" si="1"/>
        <v>124004572.67</v>
      </c>
      <c r="BW19" s="25">
        <f t="shared" si="1"/>
        <v>104120540.70999999</v>
      </c>
      <c r="BX19" s="25">
        <f t="shared" si="1"/>
        <v>6033441.96</v>
      </c>
      <c r="BY19" s="25">
        <f t="shared" si="1"/>
        <v>73544551.579999998</v>
      </c>
      <c r="BZ19" s="25">
        <f t="shared" si="1"/>
        <v>0</v>
      </c>
      <c r="CA19" s="25">
        <f t="shared" si="1"/>
        <v>165370192.44999999</v>
      </c>
      <c r="CB19" s="25">
        <f t="shared" si="1"/>
        <v>238914744.03</v>
      </c>
      <c r="CC19" s="25">
        <f t="shared" si="1"/>
        <v>109169937</v>
      </c>
      <c r="CD19" s="47"/>
      <c r="CE19" s="25">
        <f t="shared" si="1"/>
        <v>42047313</v>
      </c>
      <c r="CF19" s="25">
        <f t="shared" si="1"/>
        <v>36769285</v>
      </c>
      <c r="CG19" s="25">
        <f t="shared" si="1"/>
        <v>35457279</v>
      </c>
      <c r="CH19" s="25">
        <f t="shared" si="1"/>
        <v>46387945</v>
      </c>
      <c r="CI19" s="25">
        <f t="shared" si="1"/>
        <v>44837845</v>
      </c>
      <c r="CJ19" s="25">
        <f t="shared" si="1"/>
        <v>42741256</v>
      </c>
      <c r="CK19" s="25">
        <f t="shared" si="1"/>
        <v>41323878</v>
      </c>
      <c r="CL19" s="25">
        <f t="shared" si="1"/>
        <v>12200434.580000002</v>
      </c>
      <c r="CM19" s="25">
        <f t="shared" si="1"/>
        <v>10529271.939999999</v>
      </c>
      <c r="CN19" s="25">
        <f t="shared" si="1"/>
        <v>534882.21</v>
      </c>
      <c r="CO19" s="25">
        <f t="shared" ref="CO19:DO19" si="2">SUM(CO14:CO18)</f>
        <v>2718.86</v>
      </c>
      <c r="CP19" s="25">
        <f t="shared" si="2"/>
        <v>730.57</v>
      </c>
      <c r="CQ19" s="25">
        <f t="shared" si="2"/>
        <v>1797605.5399999998</v>
      </c>
      <c r="CR19" s="25">
        <f t="shared" si="2"/>
        <v>10114193.630000001</v>
      </c>
      <c r="CS19" s="25">
        <f t="shared" si="2"/>
        <v>1991971.21</v>
      </c>
      <c r="CT19" s="25">
        <f t="shared" si="2"/>
        <v>8502690.6500000004</v>
      </c>
      <c r="CU19" s="25">
        <f t="shared" si="2"/>
        <v>5471223.0999999996</v>
      </c>
      <c r="CV19" s="25">
        <f t="shared" si="2"/>
        <v>7741169.6599999992</v>
      </c>
      <c r="CW19" s="25">
        <f t="shared" si="2"/>
        <v>8501832.2300000004</v>
      </c>
      <c r="CX19" s="25">
        <f t="shared" si="2"/>
        <v>4634912.8500000006</v>
      </c>
      <c r="CY19" s="25">
        <f t="shared" si="2"/>
        <v>487887.92</v>
      </c>
      <c r="CZ19" s="25">
        <f t="shared" si="2"/>
        <v>8903423.7000000011</v>
      </c>
      <c r="DA19" s="25">
        <f t="shared" si="2"/>
        <v>67453102</v>
      </c>
      <c r="DB19" s="47"/>
      <c r="DC19" s="25">
        <f t="shared" si="2"/>
        <v>22605734</v>
      </c>
      <c r="DD19" s="25">
        <f t="shared" si="2"/>
        <v>20510609</v>
      </c>
      <c r="DE19" s="25">
        <f t="shared" si="2"/>
        <v>28385640</v>
      </c>
      <c r="DF19" s="25">
        <f t="shared" si="2"/>
        <v>25898932</v>
      </c>
      <c r="DG19" s="25">
        <f t="shared" si="2"/>
        <v>3272022.1799999997</v>
      </c>
      <c r="DH19" s="25">
        <f t="shared" si="2"/>
        <v>2986517.0599999996</v>
      </c>
      <c r="DI19" s="25">
        <f t="shared" si="2"/>
        <v>0</v>
      </c>
      <c r="DJ19" s="25">
        <f t="shared" si="2"/>
        <v>0</v>
      </c>
      <c r="DK19" s="25">
        <f t="shared" si="2"/>
        <v>27317.350000000002</v>
      </c>
      <c r="DL19" s="25">
        <f t="shared" si="2"/>
        <v>27317.350000000002</v>
      </c>
      <c r="DM19" s="25">
        <f t="shared" si="2"/>
        <v>4010956.9299999997</v>
      </c>
      <c r="DN19" s="25">
        <f t="shared" si="2"/>
        <v>211941.85</v>
      </c>
      <c r="DO19" s="25">
        <f t="shared" si="2"/>
        <v>1025412.2300000001</v>
      </c>
      <c r="DP19" s="18"/>
      <c r="DQ19" s="25">
        <v>44557</v>
      </c>
      <c r="DR19" s="25">
        <v>1405083</v>
      </c>
      <c r="DS19" s="25">
        <v>176990272</v>
      </c>
      <c r="DT19" s="25">
        <v>359445</v>
      </c>
      <c r="DU19" s="25">
        <v>23039536.940000001</v>
      </c>
      <c r="DV19" s="25">
        <v>275285423</v>
      </c>
      <c r="DW19" s="25">
        <v>10060143</v>
      </c>
      <c r="DX19" s="25">
        <v>10736896</v>
      </c>
      <c r="DY19" s="25">
        <v>83977</v>
      </c>
      <c r="DZ19" s="25">
        <v>11394251</v>
      </c>
      <c r="EA19" s="25">
        <v>11247584</v>
      </c>
      <c r="EB19" s="25">
        <v>813479</v>
      </c>
      <c r="EC19" s="25">
        <v>2475895</v>
      </c>
      <c r="ED19" s="25">
        <v>1649920</v>
      </c>
      <c r="EE19" s="25">
        <v>61788</v>
      </c>
      <c r="EF19" s="25">
        <v>515657</v>
      </c>
      <c r="EG19" s="25">
        <v>11163928.699999999</v>
      </c>
      <c r="EH19" s="25">
        <v>61917987</v>
      </c>
      <c r="EI19" s="25">
        <v>45379908</v>
      </c>
      <c r="EJ19" s="25">
        <v>2823872331.9499998</v>
      </c>
      <c r="EK19" s="25">
        <f t="shared" ref="EK19:EV19" si="3">SUM(EK14:EK18)</f>
        <v>42504997.770000003</v>
      </c>
      <c r="EL19" s="25">
        <f t="shared" si="3"/>
        <v>455938206.94999999</v>
      </c>
      <c r="EM19" s="25">
        <f t="shared" si="3"/>
        <v>145725355.22999999</v>
      </c>
      <c r="EN19" s="25">
        <f t="shared" si="3"/>
        <v>7277779.3899999997</v>
      </c>
      <c r="EO19" s="25">
        <f t="shared" si="3"/>
        <v>492374023.00999999</v>
      </c>
      <c r="EP19" s="25">
        <f t="shared" si="3"/>
        <v>-182024325.19</v>
      </c>
      <c r="EQ19" s="25">
        <f t="shared" si="3"/>
        <v>124983184.54000001</v>
      </c>
      <c r="ER19" s="25">
        <f t="shared" si="3"/>
        <v>18266</v>
      </c>
      <c r="ES19" s="25">
        <f t="shared" si="3"/>
        <v>-588123.0699999996</v>
      </c>
      <c r="ET19" s="25">
        <f t="shared" si="3"/>
        <v>37047456.310000002</v>
      </c>
      <c r="EU19" s="25">
        <f t="shared" si="3"/>
        <v>12856648.27</v>
      </c>
      <c r="EV19" s="25">
        <f t="shared" si="3"/>
        <v>-1454246.5200000003</v>
      </c>
      <c r="EW19" s="2"/>
    </row>
    <row r="20" spans="1:153" ht="12" customHeight="1">
      <c r="A20" s="48" t="s">
        <v>335</v>
      </c>
      <c r="B20" s="48"/>
      <c r="C20" s="48"/>
      <c r="D20" s="48"/>
      <c r="E20" s="48"/>
      <c r="F20" s="48"/>
      <c r="G20" s="48"/>
      <c r="H20" s="4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47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47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</row>
    <row r="21" spans="1:153" ht="12" customHeight="1">
      <c r="A21" s="1" t="s">
        <v>327</v>
      </c>
      <c r="B21" s="19">
        <v>59</v>
      </c>
      <c r="C21" s="19">
        <v>59</v>
      </c>
      <c r="D21" s="1" t="s">
        <v>5</v>
      </c>
      <c r="E21" s="19">
        <v>59</v>
      </c>
      <c r="F21" s="19">
        <v>31</v>
      </c>
      <c r="G21" s="20">
        <v>59</v>
      </c>
      <c r="H21" s="20"/>
      <c r="I21" s="20"/>
      <c r="J21" s="20"/>
      <c r="K21" s="20"/>
      <c r="L21" s="20" t="s">
        <v>5</v>
      </c>
      <c r="M21" s="21" t="s">
        <v>5</v>
      </c>
      <c r="N21" s="19">
        <v>9</v>
      </c>
      <c r="O21" s="1" t="s">
        <v>5</v>
      </c>
      <c r="P21" s="19">
        <v>8</v>
      </c>
      <c r="Q21" s="19">
        <v>1</v>
      </c>
      <c r="R21" s="20">
        <v>9</v>
      </c>
      <c r="S21" s="20"/>
      <c r="T21" s="20"/>
      <c r="U21" s="20">
        <v>20</v>
      </c>
      <c r="V21" s="20"/>
      <c r="W21" s="20" t="s">
        <v>5</v>
      </c>
      <c r="X21" s="21" t="s">
        <v>5</v>
      </c>
      <c r="Y21" s="19">
        <v>1173074</v>
      </c>
      <c r="Z21" s="20" t="s">
        <v>5</v>
      </c>
      <c r="AA21" s="19">
        <v>671191</v>
      </c>
      <c r="AB21" s="20" t="s">
        <v>5</v>
      </c>
      <c r="AC21" s="19">
        <v>506</v>
      </c>
      <c r="AD21" s="22">
        <v>88211077.180000007</v>
      </c>
      <c r="AE21" s="22">
        <v>82667831.489999995</v>
      </c>
      <c r="AF21" s="22">
        <v>75918566.25</v>
      </c>
      <c r="AG21" s="22">
        <v>6749265.2400000002</v>
      </c>
      <c r="AH21" s="22">
        <v>0</v>
      </c>
      <c r="AI21" s="22">
        <v>0</v>
      </c>
      <c r="AJ21" s="22">
        <v>5543245.6900000004</v>
      </c>
      <c r="AK21" s="22">
        <v>54365483.850000001</v>
      </c>
      <c r="AL21" s="22">
        <v>39622709.600000001</v>
      </c>
      <c r="AM21" s="22">
        <v>237338101.12</v>
      </c>
      <c r="AN21" s="22">
        <v>66567842.18</v>
      </c>
      <c r="AO21" s="22">
        <v>26852846.370000001</v>
      </c>
      <c r="AP21" s="22">
        <v>6834419.9299999997</v>
      </c>
      <c r="AQ21" s="22">
        <v>12392270.039999999</v>
      </c>
      <c r="AR21" s="22">
        <v>9805867.25</v>
      </c>
      <c r="AS21" s="22">
        <v>0</v>
      </c>
      <c r="AT21" s="22">
        <v>0</v>
      </c>
      <c r="AU21" s="22">
        <v>964565.85</v>
      </c>
      <c r="AV21" s="22">
        <v>9717872.7400000002</v>
      </c>
      <c r="AW21" s="22">
        <v>145356939.50999999</v>
      </c>
      <c r="AX21" s="22">
        <v>240572.2</v>
      </c>
      <c r="AY21" s="22">
        <v>145597511.71000001</v>
      </c>
      <c r="AZ21" s="22">
        <v>15494404.289999999</v>
      </c>
      <c r="BA21" s="22">
        <v>-3144023.55</v>
      </c>
      <c r="BB21" s="22">
        <v>12822366.49</v>
      </c>
      <c r="BC21" s="22">
        <v>0</v>
      </c>
      <c r="BD21" s="22">
        <v>145597511.71000001</v>
      </c>
      <c r="BE21" s="22">
        <v>0</v>
      </c>
      <c r="BF21" s="22">
        <v>38954023.039999999</v>
      </c>
      <c r="BG21" s="22">
        <v>1073111.1399999999</v>
      </c>
      <c r="BH21" s="22">
        <v>37595518.479999997</v>
      </c>
      <c r="BI21" s="22">
        <v>11961688.220000001</v>
      </c>
      <c r="BJ21" s="22">
        <v>65660964.439999998</v>
      </c>
      <c r="BK21" s="22">
        <v>0</v>
      </c>
      <c r="BL21" s="22">
        <v>77622652.659999996</v>
      </c>
      <c r="BM21" s="22">
        <v>0</v>
      </c>
      <c r="BN21" s="22">
        <v>0</v>
      </c>
      <c r="BO21" s="22">
        <v>0</v>
      </c>
      <c r="BP21" s="22">
        <v>0</v>
      </c>
      <c r="BQ21" s="22">
        <v>0</v>
      </c>
      <c r="BR21" s="22">
        <v>0</v>
      </c>
      <c r="BS21" s="22">
        <v>0</v>
      </c>
      <c r="BT21" s="22">
        <v>0</v>
      </c>
      <c r="BU21" s="22">
        <v>0</v>
      </c>
      <c r="BV21" s="22">
        <v>0</v>
      </c>
      <c r="BW21" s="22">
        <v>0</v>
      </c>
      <c r="BX21" s="22">
        <v>0</v>
      </c>
      <c r="BY21" s="22">
        <v>0</v>
      </c>
      <c r="BZ21" s="22">
        <v>0</v>
      </c>
      <c r="CA21" s="22">
        <v>0</v>
      </c>
      <c r="CB21" s="22">
        <v>0</v>
      </c>
      <c r="CC21" s="19">
        <v>539998</v>
      </c>
      <c r="CD21" s="47"/>
      <c r="CE21" s="19">
        <v>165132</v>
      </c>
      <c r="CF21" s="19">
        <v>148557</v>
      </c>
      <c r="CG21" s="19">
        <v>86726</v>
      </c>
      <c r="CH21" s="19">
        <v>160470</v>
      </c>
      <c r="CI21" s="19">
        <v>90922</v>
      </c>
      <c r="CJ21" s="19">
        <v>99584</v>
      </c>
      <c r="CK21" s="19">
        <v>36274</v>
      </c>
      <c r="CL21" s="22">
        <v>38204.870000000003</v>
      </c>
      <c r="CM21" s="22">
        <v>12830.09</v>
      </c>
      <c r="CN21" s="22">
        <v>50.78</v>
      </c>
      <c r="CO21" s="22">
        <v>0</v>
      </c>
      <c r="CP21" s="22">
        <v>0</v>
      </c>
      <c r="CQ21" s="22">
        <v>0</v>
      </c>
      <c r="CR21" s="22">
        <v>23144.52</v>
      </c>
      <c r="CS21" s="22">
        <v>14758.67</v>
      </c>
      <c r="CT21" s="22">
        <v>341.63</v>
      </c>
      <c r="CU21" s="22">
        <v>8814.2099999999991</v>
      </c>
      <c r="CV21" s="22">
        <v>16871.93</v>
      </c>
      <c r="CW21" s="22">
        <v>19588.759999999998</v>
      </c>
      <c r="CX21" s="22">
        <v>2974.39</v>
      </c>
      <c r="CY21" s="22">
        <v>2451.7399999999998</v>
      </c>
      <c r="CZ21" s="22">
        <v>11255.46</v>
      </c>
      <c r="DA21" s="19">
        <v>52098</v>
      </c>
      <c r="DB21" s="47"/>
      <c r="DC21" s="19">
        <v>15867</v>
      </c>
      <c r="DD21" s="19">
        <v>14807</v>
      </c>
      <c r="DE21" s="19">
        <v>17519</v>
      </c>
      <c r="DF21" s="19">
        <v>10649</v>
      </c>
      <c r="DG21" s="22">
        <v>1527.96</v>
      </c>
      <c r="DH21" s="22">
        <v>1527.96</v>
      </c>
      <c r="DI21" s="22">
        <v>0</v>
      </c>
      <c r="DJ21" s="22">
        <v>0</v>
      </c>
      <c r="DK21" s="22">
        <v>0</v>
      </c>
      <c r="DL21" s="22">
        <v>0</v>
      </c>
      <c r="DM21" s="22">
        <v>1967.87</v>
      </c>
      <c r="DN21" s="22">
        <v>448.76</v>
      </c>
      <c r="DO21" s="22">
        <v>168.86</v>
      </c>
      <c r="DP21" s="1"/>
      <c r="DQ21" s="19">
        <v>324</v>
      </c>
      <c r="DR21" s="19">
        <v>4123</v>
      </c>
      <c r="DS21" s="19">
        <v>366245</v>
      </c>
      <c r="DT21" s="19">
        <v>420</v>
      </c>
      <c r="DU21" s="22">
        <v>3127.92</v>
      </c>
      <c r="DV21" s="19">
        <v>80895</v>
      </c>
      <c r="DW21" s="19">
        <v>152536</v>
      </c>
      <c r="DX21" s="19">
        <v>63423</v>
      </c>
      <c r="DY21" s="19">
        <v>650</v>
      </c>
      <c r="DZ21" s="19">
        <v>197249</v>
      </c>
      <c r="EA21" s="19">
        <v>108128</v>
      </c>
      <c r="EB21" s="19">
        <v>1266</v>
      </c>
      <c r="EC21" s="19">
        <v>18411</v>
      </c>
      <c r="ED21" s="19">
        <v>12175</v>
      </c>
      <c r="EE21" s="19">
        <v>579</v>
      </c>
      <c r="EF21" s="19">
        <v>193</v>
      </c>
      <c r="EG21" s="22">
        <v>13512.01</v>
      </c>
      <c r="EH21" s="19">
        <v>181201</v>
      </c>
      <c r="EI21" s="19">
        <v>168644</v>
      </c>
      <c r="EJ21" s="22">
        <v>11307685.109999999</v>
      </c>
      <c r="EK21" s="22">
        <v>104035.79</v>
      </c>
      <c r="EL21" s="22">
        <v>1254670.03</v>
      </c>
      <c r="EM21" s="22">
        <v>1173816.1399999999</v>
      </c>
      <c r="EN21" s="22">
        <v>-144079.88</v>
      </c>
      <c r="EO21" s="22">
        <v>120202.92</v>
      </c>
      <c r="EP21" s="22">
        <v>-41022.720000000001</v>
      </c>
      <c r="EQ21" s="22">
        <v>88372.11</v>
      </c>
      <c r="ER21" s="22">
        <v>0</v>
      </c>
      <c r="ES21" s="22">
        <v>-3772.47</v>
      </c>
      <c r="ET21" s="22">
        <v>1018789.45</v>
      </c>
      <c r="EU21" s="22">
        <v>-128262.28</v>
      </c>
      <c r="EV21" s="22">
        <v>12045.14</v>
      </c>
      <c r="EW21" s="2"/>
    </row>
    <row r="22" spans="1:153" ht="12" customHeight="1">
      <c r="A22" s="1" t="s">
        <v>329</v>
      </c>
      <c r="B22" s="19">
        <v>255</v>
      </c>
      <c r="C22" s="19">
        <v>255</v>
      </c>
      <c r="D22" s="1" t="s">
        <v>5</v>
      </c>
      <c r="E22" s="19">
        <v>75</v>
      </c>
      <c r="F22" s="19">
        <v>1876</v>
      </c>
      <c r="G22" s="20">
        <v>95</v>
      </c>
      <c r="H22" s="20">
        <v>0</v>
      </c>
      <c r="I22" s="20">
        <v>160</v>
      </c>
      <c r="J22" s="20">
        <v>0</v>
      </c>
      <c r="K22" s="20">
        <v>0</v>
      </c>
      <c r="L22" s="20" t="s">
        <v>5</v>
      </c>
      <c r="M22" s="21" t="s">
        <v>5</v>
      </c>
      <c r="N22" s="19">
        <v>23</v>
      </c>
      <c r="O22" s="1" t="s">
        <v>5</v>
      </c>
      <c r="P22" s="19">
        <v>17</v>
      </c>
      <c r="Q22" s="19">
        <v>10</v>
      </c>
      <c r="R22" s="20">
        <v>22</v>
      </c>
      <c r="S22" s="20"/>
      <c r="T22" s="20">
        <v>1</v>
      </c>
      <c r="U22" s="20">
        <v>61</v>
      </c>
      <c r="V22" s="20">
        <v>0</v>
      </c>
      <c r="W22" s="20" t="s">
        <v>5</v>
      </c>
      <c r="X22" s="21" t="s">
        <v>5</v>
      </c>
      <c r="Y22" s="19">
        <v>8130763</v>
      </c>
      <c r="Z22" s="20" t="s">
        <v>5</v>
      </c>
      <c r="AA22" s="19">
        <v>1736615</v>
      </c>
      <c r="AB22" s="20" t="s">
        <v>5</v>
      </c>
      <c r="AC22" s="19">
        <v>1446</v>
      </c>
      <c r="AD22" s="22">
        <v>619875933</v>
      </c>
      <c r="AE22" s="22">
        <v>579668532.90999997</v>
      </c>
      <c r="AF22" s="22">
        <v>453660686.91000003</v>
      </c>
      <c r="AG22" s="22">
        <v>126007846</v>
      </c>
      <c r="AH22" s="22">
        <v>0</v>
      </c>
      <c r="AI22" s="22">
        <v>0</v>
      </c>
      <c r="AJ22" s="22">
        <v>40207400.090000004</v>
      </c>
      <c r="AK22" s="22">
        <v>503748750.93000001</v>
      </c>
      <c r="AL22" s="22">
        <v>147974826.38999999</v>
      </c>
      <c r="AM22" s="22">
        <v>711514542.87</v>
      </c>
      <c r="AN22" s="22">
        <v>484383475.77999997</v>
      </c>
      <c r="AO22" s="22">
        <v>70418526.049999997</v>
      </c>
      <c r="AP22" s="22">
        <v>8733179.6400000006</v>
      </c>
      <c r="AQ22" s="22">
        <v>27257931.420000002</v>
      </c>
      <c r="AR22" s="22">
        <v>44098592.25</v>
      </c>
      <c r="AS22" s="22">
        <v>210814065.25999999</v>
      </c>
      <c r="AT22" s="22">
        <v>15300</v>
      </c>
      <c r="AU22" s="22">
        <v>46076342.57</v>
      </c>
      <c r="AV22" s="22">
        <v>76969538.549999997</v>
      </c>
      <c r="AW22" s="22">
        <v>49455061.939999998</v>
      </c>
      <c r="AX22" s="22">
        <v>21051886.02</v>
      </c>
      <c r="AY22" s="22">
        <v>70506947.959999993</v>
      </c>
      <c r="AZ22" s="22">
        <v>98852429.849999994</v>
      </c>
      <c r="BA22" s="22">
        <v>-15861844.77</v>
      </c>
      <c r="BB22" s="22">
        <v>73633534.049999997</v>
      </c>
      <c r="BC22" s="22">
        <v>1800000000.01</v>
      </c>
      <c r="BD22" s="22">
        <v>1870506947.97</v>
      </c>
      <c r="BE22" s="22">
        <v>0</v>
      </c>
      <c r="BF22" s="22">
        <v>93015514.340000004</v>
      </c>
      <c r="BG22" s="22">
        <v>63405449.240000002</v>
      </c>
      <c r="BH22" s="22">
        <v>52495035.789999999</v>
      </c>
      <c r="BI22" s="22">
        <v>208845859.37</v>
      </c>
      <c r="BJ22" s="22">
        <v>0</v>
      </c>
      <c r="BK22" s="22">
        <v>70140</v>
      </c>
      <c r="BL22" s="22">
        <v>208915999.37</v>
      </c>
      <c r="BM22" s="22">
        <v>0</v>
      </c>
      <c r="BN22" s="22">
        <v>0</v>
      </c>
      <c r="BO22" s="22">
        <v>0</v>
      </c>
      <c r="BP22" s="22">
        <v>0</v>
      </c>
      <c r="BQ22" s="22">
        <v>0</v>
      </c>
      <c r="BR22" s="22">
        <v>0</v>
      </c>
      <c r="BS22" s="22">
        <v>0</v>
      </c>
      <c r="BT22" s="22">
        <v>0</v>
      </c>
      <c r="BU22" s="22">
        <v>0</v>
      </c>
      <c r="BV22" s="22">
        <v>0</v>
      </c>
      <c r="BW22" s="22">
        <v>31207838.079999998</v>
      </c>
      <c r="BX22" s="22">
        <v>0</v>
      </c>
      <c r="BY22" s="22">
        <v>31207838.079999998</v>
      </c>
      <c r="BZ22" s="22">
        <v>0</v>
      </c>
      <c r="CA22" s="22">
        <v>0</v>
      </c>
      <c r="CB22" s="22">
        <v>31207838.079999998</v>
      </c>
      <c r="CC22" s="19">
        <v>2621253</v>
      </c>
      <c r="CD22" s="47"/>
      <c r="CE22" s="19">
        <v>923560</v>
      </c>
      <c r="CF22" s="19">
        <v>757762</v>
      </c>
      <c r="CG22" s="19">
        <v>662293</v>
      </c>
      <c r="CH22" s="19">
        <v>859394</v>
      </c>
      <c r="CI22" s="19">
        <v>756712</v>
      </c>
      <c r="CJ22" s="19">
        <v>726950</v>
      </c>
      <c r="CK22" s="19">
        <v>615109</v>
      </c>
      <c r="CL22" s="22">
        <v>57172.51</v>
      </c>
      <c r="CM22" s="22">
        <v>44381.32</v>
      </c>
      <c r="CN22" s="22">
        <v>3502.66</v>
      </c>
      <c r="CO22" s="22">
        <v>118230.16</v>
      </c>
      <c r="CP22" s="22">
        <v>0</v>
      </c>
      <c r="CQ22" s="22">
        <v>0</v>
      </c>
      <c r="CR22" s="22">
        <v>17628.55</v>
      </c>
      <c r="CS22" s="22">
        <v>35038.32</v>
      </c>
      <c r="CT22" s="22">
        <v>7450.26</v>
      </c>
      <c r="CU22" s="22">
        <v>57046.46</v>
      </c>
      <c r="CV22" s="22">
        <v>67026.89</v>
      </c>
      <c r="CW22" s="22">
        <v>82206.59</v>
      </c>
      <c r="CX22" s="22">
        <v>32793</v>
      </c>
      <c r="CY22" s="22">
        <v>16095.46</v>
      </c>
      <c r="CZ22" s="22">
        <v>12577.52</v>
      </c>
      <c r="DA22" s="19">
        <v>365097</v>
      </c>
      <c r="DB22" s="47"/>
      <c r="DC22" s="19">
        <v>117419</v>
      </c>
      <c r="DD22" s="19">
        <v>97306</v>
      </c>
      <c r="DE22" s="19">
        <v>163527</v>
      </c>
      <c r="DF22" s="19">
        <v>135035</v>
      </c>
      <c r="DG22" s="22">
        <v>7009.3</v>
      </c>
      <c r="DH22" s="22">
        <v>6906.07</v>
      </c>
      <c r="DI22" s="22">
        <v>0</v>
      </c>
      <c r="DJ22" s="22">
        <v>0</v>
      </c>
      <c r="DK22" s="22">
        <v>0</v>
      </c>
      <c r="DL22" s="22">
        <v>0</v>
      </c>
      <c r="DM22" s="22">
        <v>16841.68</v>
      </c>
      <c r="DN22" s="22">
        <v>1195.8599999999999</v>
      </c>
      <c r="DO22" s="22">
        <v>4809.75</v>
      </c>
      <c r="DP22" s="1"/>
      <c r="DQ22" s="19">
        <v>5363</v>
      </c>
      <c r="DR22" s="19">
        <v>499932</v>
      </c>
      <c r="DS22" s="19">
        <v>8839686</v>
      </c>
      <c r="DT22" s="19">
        <v>19390</v>
      </c>
      <c r="DU22" s="22">
        <v>393830</v>
      </c>
      <c r="DV22" s="19">
        <v>16006330</v>
      </c>
      <c r="DW22" s="19">
        <v>113567</v>
      </c>
      <c r="DX22" s="19">
        <v>949933</v>
      </c>
      <c r="DY22" s="19">
        <v>13776</v>
      </c>
      <c r="DZ22" s="19">
        <v>106816</v>
      </c>
      <c r="EA22" s="19">
        <v>70157</v>
      </c>
      <c r="EB22" s="19">
        <v>5907</v>
      </c>
      <c r="EC22" s="19">
        <v>57760</v>
      </c>
      <c r="ED22" s="19">
        <v>34542</v>
      </c>
      <c r="EE22" s="19">
        <v>8865</v>
      </c>
      <c r="EF22" s="19">
        <v>2713</v>
      </c>
      <c r="EG22" s="22">
        <v>77290.080000000002</v>
      </c>
      <c r="EH22" s="19">
        <v>501042</v>
      </c>
      <c r="EI22" s="19">
        <v>410617</v>
      </c>
      <c r="EJ22" s="22">
        <v>68244383.969999999</v>
      </c>
      <c r="EK22" s="22">
        <v>4789922.18</v>
      </c>
      <c r="EL22" s="22">
        <v>11041643.65</v>
      </c>
      <c r="EM22" s="22">
        <v>3510045.29</v>
      </c>
      <c r="EN22" s="22">
        <v>1016475.58</v>
      </c>
      <c r="EO22" s="22">
        <v>1451820.58</v>
      </c>
      <c r="EP22" s="22">
        <v>7423069.3600000003</v>
      </c>
      <c r="EQ22" s="22">
        <v>11541585.5</v>
      </c>
      <c r="ER22" s="22">
        <v>780475.82</v>
      </c>
      <c r="ES22" s="22">
        <v>1101249.03</v>
      </c>
      <c r="ET22" s="22">
        <v>4194967.45</v>
      </c>
      <c r="EU22" s="22">
        <v>876899.22</v>
      </c>
      <c r="EV22" s="22">
        <v>866893.63</v>
      </c>
      <c r="EW22" s="2"/>
    </row>
    <row r="23" spans="1:153" ht="12" customHeight="1">
      <c r="A23" s="1" t="s">
        <v>330</v>
      </c>
      <c r="B23" s="19">
        <v>55</v>
      </c>
      <c r="C23" s="19">
        <v>55</v>
      </c>
      <c r="D23" s="1" t="s">
        <v>5</v>
      </c>
      <c r="E23" s="19">
        <v>55</v>
      </c>
      <c r="F23" s="19">
        <v>50</v>
      </c>
      <c r="G23" s="20">
        <v>53</v>
      </c>
      <c r="H23" s="20">
        <v>0</v>
      </c>
      <c r="I23" s="20">
        <v>2</v>
      </c>
      <c r="J23" s="20">
        <v>0</v>
      </c>
      <c r="K23" s="20">
        <v>0</v>
      </c>
      <c r="L23" s="20" t="s">
        <v>5</v>
      </c>
      <c r="M23" s="21" t="s">
        <v>5</v>
      </c>
      <c r="N23" s="19">
        <v>27</v>
      </c>
      <c r="O23" s="1" t="s">
        <v>5</v>
      </c>
      <c r="P23" s="19">
        <v>27</v>
      </c>
      <c r="Q23" s="19">
        <v>18</v>
      </c>
      <c r="R23" s="20">
        <v>24</v>
      </c>
      <c r="S23" s="20">
        <v>0</v>
      </c>
      <c r="T23" s="20">
        <v>2</v>
      </c>
      <c r="U23" s="20">
        <v>27</v>
      </c>
      <c r="V23" s="20">
        <v>0</v>
      </c>
      <c r="W23" s="20" t="s">
        <v>5</v>
      </c>
      <c r="X23" s="21" t="s">
        <v>5</v>
      </c>
      <c r="Y23" s="19">
        <v>12649528</v>
      </c>
      <c r="Z23" s="20" t="s">
        <v>5</v>
      </c>
      <c r="AA23" s="19">
        <v>10707327</v>
      </c>
      <c r="AB23" s="20" t="s">
        <v>5</v>
      </c>
      <c r="AC23" s="19">
        <v>7955</v>
      </c>
      <c r="AD23" s="22">
        <v>7574481865.04</v>
      </c>
      <c r="AE23" s="22">
        <v>7301557003.3500004</v>
      </c>
      <c r="AF23" s="22">
        <v>4865679300.4899998</v>
      </c>
      <c r="AG23" s="22">
        <v>2435877702.8600001</v>
      </c>
      <c r="AH23" s="22">
        <v>0</v>
      </c>
      <c r="AI23" s="22">
        <v>0</v>
      </c>
      <c r="AJ23" s="22">
        <v>272924861.69</v>
      </c>
      <c r="AK23" s="22">
        <v>5515165622.04</v>
      </c>
      <c r="AL23" s="22">
        <v>2352642426.8000002</v>
      </c>
      <c r="AM23" s="22">
        <v>7361670286.7799997</v>
      </c>
      <c r="AN23" s="22">
        <v>4453636788.6000004</v>
      </c>
      <c r="AO23" s="22">
        <v>450054859.05000001</v>
      </c>
      <c r="AP23" s="22">
        <v>21321913.77</v>
      </c>
      <c r="AQ23" s="22">
        <v>265092802.63999999</v>
      </c>
      <c r="AR23" s="22">
        <v>488749872.05000001</v>
      </c>
      <c r="AS23" s="22">
        <v>2265584930.6599998</v>
      </c>
      <c r="AT23" s="22">
        <v>0</v>
      </c>
      <c r="AU23" s="22">
        <v>654161319.14999998</v>
      </c>
      <c r="AV23" s="22">
        <v>308671091.27999997</v>
      </c>
      <c r="AW23" s="22">
        <v>1032048657.3200001</v>
      </c>
      <c r="AX23" s="22">
        <v>32489344.050000001</v>
      </c>
      <c r="AY23" s="22">
        <v>1064538001.37</v>
      </c>
      <c r="AZ23" s="22">
        <v>1398024061.0699999</v>
      </c>
      <c r="BA23" s="22">
        <v>290213183.63999999</v>
      </c>
      <c r="BB23" s="22">
        <v>155258252.09999999</v>
      </c>
      <c r="BC23" s="22">
        <v>112050575.02</v>
      </c>
      <c r="BD23" s="22">
        <v>1176588576.3900001</v>
      </c>
      <c r="BE23" s="22">
        <v>114976325.42</v>
      </c>
      <c r="BF23" s="22">
        <v>1048128302.21</v>
      </c>
      <c r="BG23" s="22">
        <v>176576535.97</v>
      </c>
      <c r="BH23" s="22">
        <v>131917069.36</v>
      </c>
      <c r="BI23" s="22">
        <v>1382582694.3699999</v>
      </c>
      <c r="BJ23" s="22">
        <v>89015538.590000004</v>
      </c>
      <c r="BK23" s="22">
        <v>0</v>
      </c>
      <c r="BL23" s="22">
        <v>1471598232.96</v>
      </c>
      <c r="BM23" s="22">
        <v>0</v>
      </c>
      <c r="BN23" s="22">
        <v>0</v>
      </c>
      <c r="BO23" s="22">
        <v>0</v>
      </c>
      <c r="BP23" s="22">
        <v>0</v>
      </c>
      <c r="BQ23" s="22">
        <v>0</v>
      </c>
      <c r="BR23" s="22">
        <v>0</v>
      </c>
      <c r="BS23" s="22">
        <v>0</v>
      </c>
      <c r="BT23" s="22">
        <v>0</v>
      </c>
      <c r="BU23" s="22">
        <v>0</v>
      </c>
      <c r="BV23" s="22">
        <v>0</v>
      </c>
      <c r="BW23" s="22">
        <v>0</v>
      </c>
      <c r="BX23" s="22">
        <v>0</v>
      </c>
      <c r="BY23" s="22">
        <v>0</v>
      </c>
      <c r="BZ23" s="22">
        <v>0</v>
      </c>
      <c r="CA23" s="22">
        <v>0</v>
      </c>
      <c r="CB23" s="22">
        <v>0</v>
      </c>
      <c r="CC23" s="19">
        <v>11015542</v>
      </c>
      <c r="CD23" s="47"/>
      <c r="CE23" s="19">
        <v>2831828</v>
      </c>
      <c r="CF23" s="19">
        <v>2544605</v>
      </c>
      <c r="CG23" s="19">
        <v>1489492</v>
      </c>
      <c r="CH23" s="19">
        <v>4189894</v>
      </c>
      <c r="CI23" s="19">
        <v>3066620</v>
      </c>
      <c r="CJ23" s="19">
        <v>3837819</v>
      </c>
      <c r="CK23" s="19">
        <v>2817037</v>
      </c>
      <c r="CL23" s="22">
        <v>224372.38</v>
      </c>
      <c r="CM23" s="22">
        <v>243974.12</v>
      </c>
      <c r="CN23" s="22">
        <v>63852.56</v>
      </c>
      <c r="CO23" s="22">
        <v>1308885.01</v>
      </c>
      <c r="CP23" s="22">
        <v>0</v>
      </c>
      <c r="CQ23" s="22">
        <v>4222.51</v>
      </c>
      <c r="CR23" s="22">
        <v>134167.69</v>
      </c>
      <c r="CS23" s="22">
        <v>27440.23</v>
      </c>
      <c r="CT23" s="22">
        <v>249339.21</v>
      </c>
      <c r="CU23" s="22">
        <v>331969.84999999998</v>
      </c>
      <c r="CV23" s="22">
        <v>492460.48</v>
      </c>
      <c r="CW23" s="22">
        <v>715515.64</v>
      </c>
      <c r="CX23" s="22">
        <v>307546.71999999997</v>
      </c>
      <c r="CY23" s="22">
        <v>36586.620000000003</v>
      </c>
      <c r="CZ23" s="22">
        <v>268602.34000000003</v>
      </c>
      <c r="DA23" s="19">
        <v>5281252</v>
      </c>
      <c r="DB23" s="47"/>
      <c r="DC23" s="19">
        <v>980765</v>
      </c>
      <c r="DD23" s="19">
        <v>902958</v>
      </c>
      <c r="DE23" s="19">
        <v>2082693</v>
      </c>
      <c r="DF23" s="19">
        <v>1848212</v>
      </c>
      <c r="DG23" s="22">
        <v>354452.79</v>
      </c>
      <c r="DH23" s="22">
        <v>328086.74</v>
      </c>
      <c r="DI23" s="22">
        <v>0</v>
      </c>
      <c r="DJ23" s="22">
        <v>0</v>
      </c>
      <c r="DK23" s="22">
        <v>502</v>
      </c>
      <c r="DL23" s="22">
        <v>501.99</v>
      </c>
      <c r="DM23" s="22">
        <v>388552.18</v>
      </c>
      <c r="DN23" s="22">
        <v>7391.84</v>
      </c>
      <c r="DO23" s="22">
        <v>66624.820000000007</v>
      </c>
      <c r="DP23" s="1"/>
      <c r="DQ23" s="19">
        <v>1384</v>
      </c>
      <c r="DR23" s="19">
        <v>27346</v>
      </c>
      <c r="DS23" s="19">
        <v>3363592</v>
      </c>
      <c r="DT23" s="19">
        <v>1358</v>
      </c>
      <c r="DU23" s="22">
        <v>26402</v>
      </c>
      <c r="DV23" s="19">
        <v>1050396</v>
      </c>
      <c r="DW23" s="19">
        <v>310615</v>
      </c>
      <c r="DX23" s="19">
        <v>405869</v>
      </c>
      <c r="DY23" s="19">
        <v>1477</v>
      </c>
      <c r="DZ23" s="19">
        <v>473697</v>
      </c>
      <c r="EA23" s="19">
        <v>635203</v>
      </c>
      <c r="EB23" s="19">
        <v>3962</v>
      </c>
      <c r="EC23" s="19">
        <v>56014</v>
      </c>
      <c r="ED23" s="19">
        <v>61809</v>
      </c>
      <c r="EE23" s="19">
        <v>244</v>
      </c>
      <c r="EF23" s="19">
        <v>7900</v>
      </c>
      <c r="EG23" s="22">
        <v>183318.89</v>
      </c>
      <c r="EH23" s="19">
        <v>5491261</v>
      </c>
      <c r="EI23" s="19">
        <v>5056671</v>
      </c>
      <c r="EJ23" s="22">
        <v>7230180.6200000001</v>
      </c>
      <c r="EK23" s="22">
        <v>3889536.84</v>
      </c>
      <c r="EL23" s="22">
        <v>32599025.870000001</v>
      </c>
      <c r="EM23" s="22">
        <v>13620781.960000001</v>
      </c>
      <c r="EN23" s="22">
        <v>-168178.26</v>
      </c>
      <c r="EO23" s="22">
        <v>11098988.439999999</v>
      </c>
      <c r="EP23" s="22">
        <v>7879255.4800000004</v>
      </c>
      <c r="EQ23" s="22">
        <v>8190650.9500000002</v>
      </c>
      <c r="ER23" s="22">
        <v>0</v>
      </c>
      <c r="ES23" s="22">
        <v>1427803.94</v>
      </c>
      <c r="ET23" s="22">
        <v>9890859.0700000003</v>
      </c>
      <c r="EU23" s="22">
        <v>619527.18999999994</v>
      </c>
      <c r="EV23" s="22">
        <v>2214229.39</v>
      </c>
      <c r="EW23" s="2"/>
    </row>
    <row r="24" spans="1:153" ht="12" customHeight="1">
      <c r="A24" s="1" t="s">
        <v>331</v>
      </c>
      <c r="B24" s="19">
        <v>5</v>
      </c>
      <c r="C24" s="19">
        <v>5</v>
      </c>
      <c r="D24" s="1" t="s">
        <v>5</v>
      </c>
      <c r="E24" s="19">
        <v>5</v>
      </c>
      <c r="F24" s="19">
        <v>11</v>
      </c>
      <c r="G24" s="20">
        <v>3</v>
      </c>
      <c r="H24" s="20">
        <v>0</v>
      </c>
      <c r="I24" s="20">
        <v>2</v>
      </c>
      <c r="J24" s="20">
        <v>0</v>
      </c>
      <c r="K24" s="20">
        <v>0</v>
      </c>
      <c r="L24" s="20" t="s">
        <v>5</v>
      </c>
      <c r="M24" s="21" t="s">
        <v>5</v>
      </c>
      <c r="N24" s="19">
        <v>5</v>
      </c>
      <c r="O24" s="1" t="s">
        <v>5</v>
      </c>
      <c r="P24" s="19">
        <v>5</v>
      </c>
      <c r="Q24" s="19">
        <v>0</v>
      </c>
      <c r="R24" s="20">
        <v>3</v>
      </c>
      <c r="S24" s="20">
        <v>0</v>
      </c>
      <c r="T24" s="20">
        <v>2</v>
      </c>
      <c r="U24" s="20">
        <v>0</v>
      </c>
      <c r="V24" s="20">
        <v>0</v>
      </c>
      <c r="W24" s="20" t="s">
        <v>5</v>
      </c>
      <c r="X24" s="21" t="s">
        <v>5</v>
      </c>
      <c r="Y24" s="19">
        <v>88010</v>
      </c>
      <c r="Z24" s="20" t="s">
        <v>5</v>
      </c>
      <c r="AA24" s="19">
        <v>88010</v>
      </c>
      <c r="AB24" s="20" t="s">
        <v>5</v>
      </c>
      <c r="AC24" s="19">
        <v>149</v>
      </c>
      <c r="AD24" s="22">
        <v>36634887.579999998</v>
      </c>
      <c r="AE24" s="22">
        <v>35205791.43</v>
      </c>
      <c r="AF24" s="22">
        <v>24883890.75</v>
      </c>
      <c r="AG24" s="22">
        <v>10321900.68</v>
      </c>
      <c r="AH24" s="22">
        <v>0</v>
      </c>
      <c r="AI24" s="22">
        <v>0</v>
      </c>
      <c r="AJ24" s="22">
        <v>1429096.15</v>
      </c>
      <c r="AK24" s="22">
        <v>38778999.090000004</v>
      </c>
      <c r="AL24" s="22">
        <v>3500223.17</v>
      </c>
      <c r="AM24" s="22">
        <v>30294801.07</v>
      </c>
      <c r="AN24" s="22">
        <v>27504317.129999999</v>
      </c>
      <c r="AO24" s="22">
        <v>14647858.289999999</v>
      </c>
      <c r="AP24" s="22">
        <v>1163987.33</v>
      </c>
      <c r="AQ24" s="22">
        <v>5890678.9400000004</v>
      </c>
      <c r="AR24" s="22">
        <v>3712113.56</v>
      </c>
      <c r="AS24" s="22">
        <v>0</v>
      </c>
      <c r="AT24" s="22">
        <v>0</v>
      </c>
      <c r="AU24" s="22">
        <v>392316.44</v>
      </c>
      <c r="AV24" s="22">
        <v>1697362.57</v>
      </c>
      <c r="AW24" s="22">
        <v>0</v>
      </c>
      <c r="AX24" s="22">
        <v>0</v>
      </c>
      <c r="AY24" s="22">
        <v>0</v>
      </c>
      <c r="AZ24" s="22">
        <v>2790483.94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4888855.43</v>
      </c>
      <c r="BG24" s="22">
        <v>1036970.66</v>
      </c>
      <c r="BH24" s="22">
        <v>163783.26</v>
      </c>
      <c r="BI24" s="22">
        <v>6089609.3499999996</v>
      </c>
      <c r="BJ24" s="22">
        <v>0</v>
      </c>
      <c r="BK24" s="22">
        <v>0</v>
      </c>
      <c r="BL24" s="22">
        <v>6089609.3499999996</v>
      </c>
      <c r="BM24" s="22">
        <v>0</v>
      </c>
      <c r="BN24" s="22">
        <v>0</v>
      </c>
      <c r="BO24" s="22">
        <v>0</v>
      </c>
      <c r="BP24" s="22">
        <v>0</v>
      </c>
      <c r="BQ24" s="22">
        <v>0</v>
      </c>
      <c r="BR24" s="22">
        <v>0</v>
      </c>
      <c r="BS24" s="22">
        <v>0</v>
      </c>
      <c r="BT24" s="22">
        <v>0</v>
      </c>
      <c r="BU24" s="22">
        <v>0</v>
      </c>
      <c r="BV24" s="22">
        <v>0</v>
      </c>
      <c r="BW24" s="22">
        <v>0</v>
      </c>
      <c r="BX24" s="22">
        <v>0</v>
      </c>
      <c r="BY24" s="22">
        <v>0</v>
      </c>
      <c r="BZ24" s="22">
        <v>0</v>
      </c>
      <c r="CA24" s="22">
        <v>0</v>
      </c>
      <c r="CB24" s="22">
        <v>0</v>
      </c>
      <c r="CC24" s="19">
        <v>75230</v>
      </c>
      <c r="CD24" s="47"/>
      <c r="CE24" s="19">
        <v>25901</v>
      </c>
      <c r="CF24" s="19">
        <v>25683</v>
      </c>
      <c r="CG24" s="19">
        <v>25652</v>
      </c>
      <c r="CH24" s="19">
        <v>33849</v>
      </c>
      <c r="CI24" s="19">
        <v>33804</v>
      </c>
      <c r="CJ24" s="19">
        <v>20024</v>
      </c>
      <c r="CK24" s="19">
        <v>20024</v>
      </c>
      <c r="CL24" s="22">
        <v>6599.1</v>
      </c>
      <c r="CM24" s="22">
        <v>6488.01</v>
      </c>
      <c r="CN24" s="22">
        <v>32.04</v>
      </c>
      <c r="CO24" s="22">
        <v>0</v>
      </c>
      <c r="CP24" s="22">
        <v>0</v>
      </c>
      <c r="CQ24" s="22">
        <v>0</v>
      </c>
      <c r="CR24" s="22">
        <v>6326.38</v>
      </c>
      <c r="CS24" s="22">
        <v>272.72000000000003</v>
      </c>
      <c r="CT24" s="22">
        <v>6509.29</v>
      </c>
      <c r="CU24" s="22">
        <v>4224.71</v>
      </c>
      <c r="CV24" s="22">
        <v>4482.12</v>
      </c>
      <c r="CW24" s="22">
        <v>4300.57</v>
      </c>
      <c r="CX24" s="22">
        <v>3720.71</v>
      </c>
      <c r="CY24" s="22">
        <v>743.75</v>
      </c>
      <c r="CZ24" s="22">
        <v>6043.04</v>
      </c>
      <c r="DA24" s="19">
        <v>47104</v>
      </c>
      <c r="DB24" s="47"/>
      <c r="DC24" s="19">
        <v>13585</v>
      </c>
      <c r="DD24" s="19">
        <v>12322</v>
      </c>
      <c r="DE24" s="19">
        <v>19475</v>
      </c>
      <c r="DF24" s="19">
        <v>15944</v>
      </c>
      <c r="DG24" s="22">
        <v>2218.7199999999998</v>
      </c>
      <c r="DH24" s="22">
        <v>2218.7199999999998</v>
      </c>
      <c r="DI24" s="22">
        <v>0</v>
      </c>
      <c r="DJ24" s="22">
        <v>0</v>
      </c>
      <c r="DK24" s="22">
        <v>0</v>
      </c>
      <c r="DL24" s="22">
        <v>0</v>
      </c>
      <c r="DM24" s="22">
        <v>2205.4699999999998</v>
      </c>
      <c r="DN24" s="22">
        <v>255.68</v>
      </c>
      <c r="DO24" s="22">
        <v>819.21</v>
      </c>
      <c r="DP24" s="1"/>
      <c r="DQ24" s="19">
        <v>17</v>
      </c>
      <c r="DR24" s="19">
        <v>195</v>
      </c>
      <c r="DS24" s="19">
        <v>11128</v>
      </c>
      <c r="DT24" s="19">
        <v>0</v>
      </c>
      <c r="DU24" s="22">
        <v>0</v>
      </c>
      <c r="DV24" s="19">
        <v>0</v>
      </c>
      <c r="DW24" s="19">
        <v>8653</v>
      </c>
      <c r="DX24" s="19">
        <v>13035</v>
      </c>
      <c r="DY24" s="19">
        <v>0</v>
      </c>
      <c r="DZ24" s="19">
        <v>8653</v>
      </c>
      <c r="EA24" s="19">
        <v>13037</v>
      </c>
      <c r="EB24" s="19">
        <v>0</v>
      </c>
      <c r="EC24" s="19">
        <v>3020</v>
      </c>
      <c r="ED24" s="19">
        <v>3634</v>
      </c>
      <c r="EE24" s="19">
        <v>1</v>
      </c>
      <c r="EF24" s="19">
        <v>211</v>
      </c>
      <c r="EG24" s="22">
        <v>432</v>
      </c>
      <c r="EH24" s="19">
        <v>34189</v>
      </c>
      <c r="EI24" s="19">
        <v>34189</v>
      </c>
      <c r="EJ24" s="22">
        <v>2931514.17</v>
      </c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"/>
    </row>
    <row r="25" spans="1:153" ht="12" customHeight="1">
      <c r="A25" s="1" t="s">
        <v>332</v>
      </c>
      <c r="B25" s="19">
        <v>2</v>
      </c>
      <c r="C25" s="19">
        <v>2</v>
      </c>
      <c r="D25" s="1" t="s">
        <v>5</v>
      </c>
      <c r="E25" s="19">
        <v>2</v>
      </c>
      <c r="F25" s="19">
        <v>0</v>
      </c>
      <c r="G25" s="20">
        <v>2</v>
      </c>
      <c r="H25" s="20"/>
      <c r="I25" s="20"/>
      <c r="J25" s="20"/>
      <c r="K25" s="20"/>
      <c r="L25" s="20" t="s">
        <v>5</v>
      </c>
      <c r="M25" s="21" t="s">
        <v>5</v>
      </c>
      <c r="N25" s="19">
        <v>2</v>
      </c>
      <c r="O25" s="1" t="s">
        <v>5</v>
      </c>
      <c r="P25" s="19">
        <v>2</v>
      </c>
      <c r="Q25" s="19">
        <v>0</v>
      </c>
      <c r="R25" s="20">
        <v>2</v>
      </c>
      <c r="S25" s="20"/>
      <c r="T25" s="20"/>
      <c r="U25" s="20"/>
      <c r="V25" s="20"/>
      <c r="W25" s="20" t="s">
        <v>5</v>
      </c>
      <c r="X25" s="21" t="s">
        <v>5</v>
      </c>
      <c r="Y25" s="19">
        <v>31264</v>
      </c>
      <c r="Z25" s="20" t="s">
        <v>5</v>
      </c>
      <c r="AA25" s="19">
        <v>31264</v>
      </c>
      <c r="AB25" s="20" t="s">
        <v>5</v>
      </c>
      <c r="AC25" s="19">
        <v>24</v>
      </c>
      <c r="AD25" s="22">
        <v>10341777.630000001</v>
      </c>
      <c r="AE25" s="22">
        <v>9810717.9100000001</v>
      </c>
      <c r="AF25" s="22">
        <v>7151857.25</v>
      </c>
      <c r="AG25" s="22">
        <v>2658860.66</v>
      </c>
      <c r="AH25" s="22">
        <v>0</v>
      </c>
      <c r="AI25" s="22">
        <v>0</v>
      </c>
      <c r="AJ25" s="22">
        <v>531059.72</v>
      </c>
      <c r="AK25" s="22">
        <v>10858819.67</v>
      </c>
      <c r="AL25" s="22">
        <v>509705.54</v>
      </c>
      <c r="AM25" s="22">
        <v>3170365.14</v>
      </c>
      <c r="AN25" s="22">
        <v>3170365.14</v>
      </c>
      <c r="AO25" s="22">
        <v>1170352.8500000001</v>
      </c>
      <c r="AP25" s="22">
        <v>79075</v>
      </c>
      <c r="AQ25" s="22">
        <v>790724</v>
      </c>
      <c r="AR25" s="22">
        <v>476962.81</v>
      </c>
      <c r="AS25" s="22">
        <v>0</v>
      </c>
      <c r="AT25" s="22">
        <v>0</v>
      </c>
      <c r="AU25" s="22">
        <v>513211.25</v>
      </c>
      <c r="AV25" s="22">
        <v>140039.23000000001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103286.5</v>
      </c>
      <c r="BG25" s="22">
        <v>75550.02</v>
      </c>
      <c r="BH25" s="22">
        <v>0</v>
      </c>
      <c r="BI25" s="22">
        <v>178836.52</v>
      </c>
      <c r="BJ25" s="22">
        <v>0</v>
      </c>
      <c r="BK25" s="22">
        <v>0</v>
      </c>
      <c r="BL25" s="22">
        <v>178836.52</v>
      </c>
      <c r="BM25" s="22">
        <v>0</v>
      </c>
      <c r="BN25" s="22">
        <v>0</v>
      </c>
      <c r="BO25" s="22">
        <v>0</v>
      </c>
      <c r="BP25" s="22">
        <v>0</v>
      </c>
      <c r="BQ25" s="22">
        <v>0</v>
      </c>
      <c r="BR25" s="22">
        <v>0</v>
      </c>
      <c r="BS25" s="22">
        <v>0</v>
      </c>
      <c r="BT25" s="22">
        <v>0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2">
        <v>0</v>
      </c>
      <c r="CA25" s="22">
        <v>0</v>
      </c>
      <c r="CB25" s="22">
        <v>0</v>
      </c>
      <c r="CC25" s="19">
        <v>29446</v>
      </c>
      <c r="CD25" s="47"/>
      <c r="CE25" s="19">
        <v>12454</v>
      </c>
      <c r="CF25" s="19">
        <v>10720</v>
      </c>
      <c r="CG25" s="19">
        <v>10709</v>
      </c>
      <c r="CH25" s="19">
        <v>10727</v>
      </c>
      <c r="CI25" s="19">
        <v>10709</v>
      </c>
      <c r="CJ25" s="19">
        <v>9996</v>
      </c>
      <c r="CK25" s="19">
        <v>9996</v>
      </c>
      <c r="CL25" s="22">
        <v>2111.7399999999998</v>
      </c>
      <c r="CM25" s="22">
        <v>268.88</v>
      </c>
      <c r="CN25" s="22">
        <v>14</v>
      </c>
      <c r="CO25" s="22">
        <v>0</v>
      </c>
      <c r="CP25" s="22">
        <v>0</v>
      </c>
      <c r="CQ25" s="22">
        <v>0</v>
      </c>
      <c r="CR25" s="22">
        <v>1771.72</v>
      </c>
      <c r="CS25" s="22">
        <v>340.02</v>
      </c>
      <c r="CT25" s="22">
        <v>1771.72</v>
      </c>
      <c r="CU25" s="22">
        <v>1431.16</v>
      </c>
      <c r="CV25" s="22">
        <v>1591.81</v>
      </c>
      <c r="CW25" s="22">
        <v>1689.6</v>
      </c>
      <c r="CX25" s="22">
        <v>1223.69</v>
      </c>
      <c r="CY25" s="22">
        <v>228.83</v>
      </c>
      <c r="CZ25" s="22">
        <v>650.19000000000005</v>
      </c>
      <c r="DA25" s="19">
        <v>19065</v>
      </c>
      <c r="DB25" s="47"/>
      <c r="DC25" s="19">
        <v>7443</v>
      </c>
      <c r="DD25" s="19">
        <v>7225</v>
      </c>
      <c r="DE25" s="19">
        <v>11236</v>
      </c>
      <c r="DF25" s="19">
        <v>6150</v>
      </c>
      <c r="DG25" s="22">
        <v>788.12</v>
      </c>
      <c r="DH25" s="22">
        <v>788.12</v>
      </c>
      <c r="DI25" s="22">
        <v>0</v>
      </c>
      <c r="DJ25" s="22">
        <v>0</v>
      </c>
      <c r="DK25" s="22">
        <v>0</v>
      </c>
      <c r="DL25" s="22">
        <v>0</v>
      </c>
      <c r="DM25" s="22">
        <v>1078.8399999999999</v>
      </c>
      <c r="DN25" s="22">
        <v>122.23</v>
      </c>
      <c r="DO25" s="22">
        <v>72.87</v>
      </c>
      <c r="DP25" s="1"/>
      <c r="DQ25" s="19">
        <v>0</v>
      </c>
      <c r="DR25" s="19">
        <v>0</v>
      </c>
      <c r="DS25" s="19">
        <v>0</v>
      </c>
      <c r="DT25" s="19">
        <v>0</v>
      </c>
      <c r="DU25" s="22">
        <v>0</v>
      </c>
      <c r="DV25" s="19">
        <v>0</v>
      </c>
      <c r="DW25" s="19">
        <v>6491</v>
      </c>
      <c r="DX25" s="19">
        <v>6682</v>
      </c>
      <c r="DY25" s="19">
        <v>0</v>
      </c>
      <c r="DZ25" s="19">
        <v>6491</v>
      </c>
      <c r="EA25" s="19">
        <v>6682</v>
      </c>
      <c r="EB25" s="19">
        <v>0</v>
      </c>
      <c r="EC25" s="19">
        <v>792</v>
      </c>
      <c r="ED25" s="19">
        <v>802</v>
      </c>
      <c r="EE25" s="19">
        <v>0</v>
      </c>
      <c r="EF25" s="19">
        <v>0</v>
      </c>
      <c r="EG25" s="22">
        <v>0</v>
      </c>
      <c r="EH25" s="19">
        <v>5564</v>
      </c>
      <c r="EI25" s="19">
        <v>5564</v>
      </c>
      <c r="EJ25" s="22">
        <v>0</v>
      </c>
      <c r="EK25" s="22">
        <v>11655644.59</v>
      </c>
      <c r="EL25" s="22">
        <v>27211640.870000001</v>
      </c>
      <c r="EM25" s="22">
        <v>0</v>
      </c>
      <c r="EN25" s="22">
        <v>6481100.9199999999</v>
      </c>
      <c r="EO25" s="22">
        <v>1483813.95</v>
      </c>
      <c r="EP25" s="22">
        <v>32307013.420000002</v>
      </c>
      <c r="EQ25" s="22">
        <v>10862653.359999999</v>
      </c>
      <c r="ER25" s="22">
        <v>0</v>
      </c>
      <c r="ES25" s="22">
        <v>6791670.6399999997</v>
      </c>
      <c r="ET25" s="22">
        <v>491319.18</v>
      </c>
      <c r="EU25" s="22">
        <v>7495385.8300000001</v>
      </c>
      <c r="EV25" s="22">
        <v>7495385.8300000001</v>
      </c>
      <c r="EW25" s="2"/>
    </row>
    <row r="26" spans="1:153" ht="12" customHeight="1">
      <c r="A26" s="23" t="s">
        <v>333</v>
      </c>
      <c r="B26" s="24">
        <v>376</v>
      </c>
      <c r="C26" s="24">
        <v>376</v>
      </c>
      <c r="D26" s="18" t="s">
        <v>5</v>
      </c>
      <c r="E26" s="24">
        <v>196</v>
      </c>
      <c r="F26" s="25">
        <f>SUM(F21:F25)</f>
        <v>1968</v>
      </c>
      <c r="G26" s="24">
        <v>212</v>
      </c>
      <c r="H26" s="24">
        <v>0</v>
      </c>
      <c r="I26" s="24">
        <v>164</v>
      </c>
      <c r="J26" s="24">
        <v>0</v>
      </c>
      <c r="K26" s="24">
        <v>0</v>
      </c>
      <c r="L26" s="24" t="s">
        <v>5</v>
      </c>
      <c r="M26" s="26" t="s">
        <v>5</v>
      </c>
      <c r="N26" s="24">
        <v>66</v>
      </c>
      <c r="O26" s="18" t="s">
        <v>5</v>
      </c>
      <c r="P26" s="24">
        <v>59</v>
      </c>
      <c r="Q26" s="25">
        <f>SUM(Q21:Q25)</f>
        <v>29</v>
      </c>
      <c r="R26" s="24">
        <v>60</v>
      </c>
      <c r="S26" s="24">
        <v>0</v>
      </c>
      <c r="T26" s="24">
        <v>5</v>
      </c>
      <c r="U26" s="24">
        <v>108</v>
      </c>
      <c r="V26" s="24">
        <v>0</v>
      </c>
      <c r="W26" s="24" t="s">
        <v>5</v>
      </c>
      <c r="X26" s="26" t="s">
        <v>5</v>
      </c>
      <c r="Y26" s="24">
        <v>22072639</v>
      </c>
      <c r="Z26" s="24" t="s">
        <v>334</v>
      </c>
      <c r="AA26" s="24">
        <v>13234407</v>
      </c>
      <c r="AB26" s="24" t="s">
        <v>334</v>
      </c>
      <c r="AC26" s="25">
        <f t="shared" ref="AC26:BH26" si="4">SUM(AC21:AC25)</f>
        <v>10080</v>
      </c>
      <c r="AD26" s="25">
        <f t="shared" si="4"/>
        <v>8329545540.4300003</v>
      </c>
      <c r="AE26" s="25">
        <f t="shared" si="4"/>
        <v>8008909877.0900002</v>
      </c>
      <c r="AF26" s="25">
        <f t="shared" si="4"/>
        <v>5427294301.6499996</v>
      </c>
      <c r="AG26" s="25">
        <f t="shared" si="4"/>
        <v>2581615575.4399996</v>
      </c>
      <c r="AH26" s="25">
        <f t="shared" si="4"/>
        <v>0</v>
      </c>
      <c r="AI26" s="25">
        <f t="shared" si="4"/>
        <v>0</v>
      </c>
      <c r="AJ26" s="25">
        <f t="shared" si="4"/>
        <v>320635663.34000003</v>
      </c>
      <c r="AK26" s="25">
        <f t="shared" si="4"/>
        <v>6122917675.5799999</v>
      </c>
      <c r="AL26" s="25">
        <f t="shared" si="4"/>
        <v>2544249891.5</v>
      </c>
      <c r="AM26" s="25">
        <f t="shared" si="4"/>
        <v>8343988096.9799995</v>
      </c>
      <c r="AN26" s="25">
        <f t="shared" si="4"/>
        <v>5035262788.8300009</v>
      </c>
      <c r="AO26" s="25">
        <f t="shared" si="4"/>
        <v>563144442.61000001</v>
      </c>
      <c r="AP26" s="25">
        <f t="shared" si="4"/>
        <v>38132575.670000002</v>
      </c>
      <c r="AQ26" s="25">
        <f t="shared" si="4"/>
        <v>311424407.03999996</v>
      </c>
      <c r="AR26" s="25">
        <f t="shared" si="4"/>
        <v>546843407.91999984</v>
      </c>
      <c r="AS26" s="25">
        <f t="shared" si="4"/>
        <v>2476398995.9200001</v>
      </c>
      <c r="AT26" s="25">
        <f t="shared" si="4"/>
        <v>15300</v>
      </c>
      <c r="AU26" s="25">
        <f t="shared" si="4"/>
        <v>702107755.25999999</v>
      </c>
      <c r="AV26" s="25">
        <f t="shared" si="4"/>
        <v>397195904.36999995</v>
      </c>
      <c r="AW26" s="25">
        <f t="shared" si="4"/>
        <v>1226860658.77</v>
      </c>
      <c r="AX26" s="25">
        <f t="shared" si="4"/>
        <v>53781802.269999996</v>
      </c>
      <c r="AY26" s="25">
        <f t="shared" si="4"/>
        <v>1280642461.04</v>
      </c>
      <c r="AZ26" s="25">
        <f t="shared" si="4"/>
        <v>1515161379.1500001</v>
      </c>
      <c r="BA26" s="25">
        <f t="shared" si="4"/>
        <v>271207315.31999999</v>
      </c>
      <c r="BB26" s="25">
        <f t="shared" si="4"/>
        <v>241714152.63999999</v>
      </c>
      <c r="BC26" s="25">
        <f t="shared" si="4"/>
        <v>1912050575.03</v>
      </c>
      <c r="BD26" s="25">
        <f t="shared" si="4"/>
        <v>3192693036.0700002</v>
      </c>
      <c r="BE26" s="25">
        <f t="shared" si="4"/>
        <v>114976325.42</v>
      </c>
      <c r="BF26" s="25">
        <f t="shared" si="4"/>
        <v>1185089981.5200002</v>
      </c>
      <c r="BG26" s="25">
        <f t="shared" si="4"/>
        <v>242167617.03</v>
      </c>
      <c r="BH26" s="25">
        <f t="shared" si="4"/>
        <v>222171406.88999999</v>
      </c>
      <c r="BI26" s="25">
        <f t="shared" ref="BI26:CN26" si="5">SUM(BI21:BI25)</f>
        <v>1609658687.8299997</v>
      </c>
      <c r="BJ26" s="25">
        <f t="shared" si="5"/>
        <v>154676503.03</v>
      </c>
      <c r="BK26" s="25">
        <f t="shared" si="5"/>
        <v>70140</v>
      </c>
      <c r="BL26" s="25">
        <f t="shared" si="5"/>
        <v>1764405330.8599999</v>
      </c>
      <c r="BM26" s="25">
        <f t="shared" si="5"/>
        <v>0</v>
      </c>
      <c r="BN26" s="25">
        <f t="shared" si="5"/>
        <v>0</v>
      </c>
      <c r="BO26" s="25">
        <f t="shared" si="5"/>
        <v>0</v>
      </c>
      <c r="BP26" s="25">
        <f t="shared" si="5"/>
        <v>0</v>
      </c>
      <c r="BQ26" s="25">
        <f t="shared" si="5"/>
        <v>0</v>
      </c>
      <c r="BR26" s="25">
        <f t="shared" si="5"/>
        <v>0</v>
      </c>
      <c r="BS26" s="25">
        <f t="shared" si="5"/>
        <v>0</v>
      </c>
      <c r="BT26" s="25">
        <f t="shared" si="5"/>
        <v>0</v>
      </c>
      <c r="BU26" s="25">
        <f t="shared" si="5"/>
        <v>0</v>
      </c>
      <c r="BV26" s="25">
        <f t="shared" si="5"/>
        <v>0</v>
      </c>
      <c r="BW26" s="25">
        <f t="shared" si="5"/>
        <v>31207838.079999998</v>
      </c>
      <c r="BX26" s="25">
        <f t="shared" si="5"/>
        <v>0</v>
      </c>
      <c r="BY26" s="25">
        <f t="shared" si="5"/>
        <v>31207838.079999998</v>
      </c>
      <c r="BZ26" s="25">
        <f t="shared" si="5"/>
        <v>0</v>
      </c>
      <c r="CA26" s="25">
        <f t="shared" si="5"/>
        <v>0</v>
      </c>
      <c r="CB26" s="25">
        <f t="shared" si="5"/>
        <v>31207838.079999998</v>
      </c>
      <c r="CC26" s="25">
        <f t="shared" si="5"/>
        <v>14281469</v>
      </c>
      <c r="CD26" s="47"/>
      <c r="CE26" s="25">
        <f t="shared" si="5"/>
        <v>3958875</v>
      </c>
      <c r="CF26" s="25">
        <f t="shared" si="5"/>
        <v>3487327</v>
      </c>
      <c r="CG26" s="25">
        <f t="shared" si="5"/>
        <v>2274872</v>
      </c>
      <c r="CH26" s="25">
        <f t="shared" si="5"/>
        <v>5254334</v>
      </c>
      <c r="CI26" s="25">
        <f t="shared" si="5"/>
        <v>3958767</v>
      </c>
      <c r="CJ26" s="25">
        <f t="shared" si="5"/>
        <v>4694373</v>
      </c>
      <c r="CK26" s="25">
        <f t="shared" si="5"/>
        <v>3498440</v>
      </c>
      <c r="CL26" s="25">
        <f t="shared" si="5"/>
        <v>328460.59999999998</v>
      </c>
      <c r="CM26" s="25">
        <f t="shared" si="5"/>
        <v>307942.42000000004</v>
      </c>
      <c r="CN26" s="25">
        <f t="shared" si="5"/>
        <v>67452.039999999994</v>
      </c>
      <c r="CO26" s="25">
        <f t="shared" ref="CO26:DO26" si="6">SUM(CO21:CO25)</f>
        <v>1427115.17</v>
      </c>
      <c r="CP26" s="25">
        <f t="shared" si="6"/>
        <v>0</v>
      </c>
      <c r="CQ26" s="25">
        <f t="shared" si="6"/>
        <v>4222.51</v>
      </c>
      <c r="CR26" s="25">
        <f t="shared" si="6"/>
        <v>183038.86000000002</v>
      </c>
      <c r="CS26" s="25">
        <f t="shared" si="6"/>
        <v>77849.960000000006</v>
      </c>
      <c r="CT26" s="25">
        <f t="shared" si="6"/>
        <v>265412.11</v>
      </c>
      <c r="CU26" s="25">
        <f t="shared" si="6"/>
        <v>403486.38999999996</v>
      </c>
      <c r="CV26" s="25">
        <f t="shared" si="6"/>
        <v>582433.2300000001</v>
      </c>
      <c r="CW26" s="25">
        <f t="shared" si="6"/>
        <v>823301.15999999992</v>
      </c>
      <c r="CX26" s="25">
        <f t="shared" si="6"/>
        <v>348258.51</v>
      </c>
      <c r="CY26" s="25">
        <f t="shared" si="6"/>
        <v>56106.400000000001</v>
      </c>
      <c r="CZ26" s="25">
        <f t="shared" si="6"/>
        <v>299128.55</v>
      </c>
      <c r="DA26" s="25">
        <f t="shared" si="6"/>
        <v>5764616</v>
      </c>
      <c r="DB26" s="47"/>
      <c r="DC26" s="25">
        <f t="shared" si="6"/>
        <v>1135079</v>
      </c>
      <c r="DD26" s="25">
        <f t="shared" si="6"/>
        <v>1034618</v>
      </c>
      <c r="DE26" s="25">
        <f t="shared" si="6"/>
        <v>2294450</v>
      </c>
      <c r="DF26" s="25">
        <f t="shared" si="6"/>
        <v>2015990</v>
      </c>
      <c r="DG26" s="25">
        <f t="shared" si="6"/>
        <v>365996.88999999996</v>
      </c>
      <c r="DH26" s="25">
        <f t="shared" si="6"/>
        <v>339527.61</v>
      </c>
      <c r="DI26" s="25">
        <f t="shared" si="6"/>
        <v>0</v>
      </c>
      <c r="DJ26" s="25">
        <f t="shared" si="6"/>
        <v>0</v>
      </c>
      <c r="DK26" s="25">
        <f t="shared" si="6"/>
        <v>502</v>
      </c>
      <c r="DL26" s="25">
        <f t="shared" si="6"/>
        <v>501.99</v>
      </c>
      <c r="DM26" s="25">
        <f t="shared" si="6"/>
        <v>410646.04</v>
      </c>
      <c r="DN26" s="25">
        <f t="shared" si="6"/>
        <v>9414.369999999999</v>
      </c>
      <c r="DO26" s="25">
        <f t="shared" si="6"/>
        <v>72495.510000000009</v>
      </c>
      <c r="DP26" s="18"/>
      <c r="DQ26" s="25">
        <v>7088</v>
      </c>
      <c r="DR26" s="25">
        <v>531596</v>
      </c>
      <c r="DS26" s="25">
        <v>12580651</v>
      </c>
      <c r="DT26" s="25">
        <v>21168</v>
      </c>
      <c r="DU26" s="25">
        <v>423359.92</v>
      </c>
      <c r="DV26" s="25">
        <v>17137621</v>
      </c>
      <c r="DW26" s="25">
        <v>591862</v>
      </c>
      <c r="DX26" s="25">
        <v>1438942</v>
      </c>
      <c r="DY26" s="25">
        <v>15903</v>
      </c>
      <c r="DZ26" s="25">
        <v>792906</v>
      </c>
      <c r="EA26" s="25">
        <v>833207</v>
      </c>
      <c r="EB26" s="25">
        <v>11135</v>
      </c>
      <c r="EC26" s="25">
        <v>135997</v>
      </c>
      <c r="ED26" s="25">
        <v>112962</v>
      </c>
      <c r="EE26" s="25">
        <v>9689</v>
      </c>
      <c r="EF26" s="25">
        <v>11017</v>
      </c>
      <c r="EG26" s="25">
        <v>274552.98</v>
      </c>
      <c r="EH26" s="25">
        <v>6213257</v>
      </c>
      <c r="EI26" s="25">
        <v>5675685</v>
      </c>
      <c r="EJ26" s="25">
        <v>89713763.870000005</v>
      </c>
      <c r="EK26" s="25">
        <f t="shared" ref="EK26:EV26" si="7">SUM(EK21:EK25)</f>
        <v>20439139.399999999</v>
      </c>
      <c r="EL26" s="25">
        <f t="shared" si="7"/>
        <v>72106980.420000002</v>
      </c>
      <c r="EM26" s="25">
        <f t="shared" si="7"/>
        <v>18304643.390000001</v>
      </c>
      <c r="EN26" s="25">
        <f t="shared" si="7"/>
        <v>7185318.3599999994</v>
      </c>
      <c r="EO26" s="25">
        <f t="shared" si="7"/>
        <v>14154825.889999999</v>
      </c>
      <c r="EP26" s="25">
        <f t="shared" si="7"/>
        <v>47568315.540000007</v>
      </c>
      <c r="EQ26" s="25">
        <f t="shared" si="7"/>
        <v>30683261.919999998</v>
      </c>
      <c r="ER26" s="25">
        <f t="shared" si="7"/>
        <v>780475.82</v>
      </c>
      <c r="ES26" s="25">
        <f t="shared" si="7"/>
        <v>9316951.1400000006</v>
      </c>
      <c r="ET26" s="25">
        <f t="shared" si="7"/>
        <v>15595935.15</v>
      </c>
      <c r="EU26" s="25">
        <f t="shared" si="7"/>
        <v>8863549.9600000009</v>
      </c>
      <c r="EV26" s="25">
        <f t="shared" si="7"/>
        <v>10588553.99</v>
      </c>
      <c r="EW26" s="2"/>
    </row>
    <row r="27" spans="1:153" ht="12" customHeight="1">
      <c r="A27" s="48" t="s">
        <v>336</v>
      </c>
      <c r="B27" s="48"/>
      <c r="C27" s="48"/>
      <c r="D27" s="48"/>
      <c r="E27" s="48"/>
      <c r="F27" s="48"/>
      <c r="G27" s="48"/>
      <c r="H27" s="4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47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47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</row>
    <row r="28" spans="1:153" ht="12" customHeight="1">
      <c r="A28" s="1" t="s">
        <v>327</v>
      </c>
      <c r="B28" s="19">
        <v>134</v>
      </c>
      <c r="C28" s="19">
        <v>121</v>
      </c>
      <c r="D28" s="1" t="s">
        <v>5</v>
      </c>
      <c r="E28" s="19">
        <v>121</v>
      </c>
      <c r="F28" s="19">
        <v>1678</v>
      </c>
      <c r="G28" s="20"/>
      <c r="H28" s="20"/>
      <c r="I28" s="20"/>
      <c r="J28" s="20"/>
      <c r="K28" s="20"/>
      <c r="L28" s="20" t="s">
        <v>5</v>
      </c>
      <c r="M28" s="21" t="s">
        <v>5</v>
      </c>
      <c r="N28" s="19">
        <v>37</v>
      </c>
      <c r="O28" s="1" t="s">
        <v>5</v>
      </c>
      <c r="P28" s="19">
        <v>37</v>
      </c>
      <c r="Q28" s="19">
        <v>51</v>
      </c>
      <c r="R28" s="20"/>
      <c r="S28" s="20"/>
      <c r="T28" s="20"/>
      <c r="U28" s="20"/>
      <c r="V28" s="20"/>
      <c r="W28" s="20" t="s">
        <v>5</v>
      </c>
      <c r="X28" s="21" t="s">
        <v>5</v>
      </c>
      <c r="Y28" s="19">
        <v>4596229</v>
      </c>
      <c r="Z28" s="20" t="s">
        <v>5</v>
      </c>
      <c r="AA28" s="19">
        <v>2180994</v>
      </c>
      <c r="AB28" s="20" t="s">
        <v>5</v>
      </c>
      <c r="AC28" s="19">
        <v>3813</v>
      </c>
      <c r="AD28" s="22">
        <v>225546926.47</v>
      </c>
      <c r="AE28" s="22">
        <v>205330714.94999999</v>
      </c>
      <c r="AF28" s="22">
        <v>180931064.77000001</v>
      </c>
      <c r="AG28" s="22">
        <v>22719550.18</v>
      </c>
      <c r="AH28" s="22">
        <v>1680100</v>
      </c>
      <c r="AI28" s="22">
        <v>0</v>
      </c>
      <c r="AJ28" s="22">
        <v>20216211.52</v>
      </c>
      <c r="AK28" s="22">
        <v>178268158.69999999</v>
      </c>
      <c r="AL28" s="22">
        <v>31637908.309999999</v>
      </c>
      <c r="AM28" s="22">
        <v>387673886.07999998</v>
      </c>
      <c r="AN28" s="22">
        <v>375767064.12</v>
      </c>
      <c r="AO28" s="22">
        <v>138902471.03999999</v>
      </c>
      <c r="AP28" s="22">
        <v>42981758.340000004</v>
      </c>
      <c r="AQ28" s="22">
        <v>103331107.5</v>
      </c>
      <c r="AR28" s="22">
        <v>72506927.150000006</v>
      </c>
      <c r="AS28" s="22">
        <v>295502</v>
      </c>
      <c r="AT28" s="22">
        <v>0</v>
      </c>
      <c r="AU28" s="22">
        <v>1755656.9</v>
      </c>
      <c r="AV28" s="22">
        <v>15993641.189999999</v>
      </c>
      <c r="AW28" s="22">
        <v>1260979.83</v>
      </c>
      <c r="AX28" s="22">
        <v>5930</v>
      </c>
      <c r="AY28" s="22">
        <v>1266909.83</v>
      </c>
      <c r="AZ28" s="22">
        <v>1131157.68</v>
      </c>
      <c r="BA28" s="22">
        <v>1046080.61</v>
      </c>
      <c r="BB28" s="22">
        <v>8462673.8200000003</v>
      </c>
      <c r="BC28" s="22">
        <v>4340162.57</v>
      </c>
      <c r="BD28" s="22">
        <v>5607072.4000000004</v>
      </c>
      <c r="BE28" s="22">
        <v>1008291.89</v>
      </c>
      <c r="BF28" s="22">
        <v>17052672.190000001</v>
      </c>
      <c r="BG28" s="22">
        <v>2973125.35</v>
      </c>
      <c r="BH28" s="22">
        <v>2415618.44</v>
      </c>
      <c r="BI28" s="22">
        <v>23073563.539999999</v>
      </c>
      <c r="BJ28" s="22">
        <v>159310.01</v>
      </c>
      <c r="BK28" s="22">
        <v>216834.32</v>
      </c>
      <c r="BL28" s="22">
        <v>23449707.870000001</v>
      </c>
      <c r="BM28" s="22">
        <v>1781943.07</v>
      </c>
      <c r="BN28" s="22">
        <v>22243897.800000001</v>
      </c>
      <c r="BO28" s="22">
        <v>9501616</v>
      </c>
      <c r="BP28" s="22">
        <v>2638427.58</v>
      </c>
      <c r="BQ28" s="22">
        <v>24877285.949999999</v>
      </c>
      <c r="BR28" s="22">
        <v>2516601.1</v>
      </c>
      <c r="BS28" s="22">
        <v>9471673.3200000003</v>
      </c>
      <c r="BT28" s="22">
        <v>36075884.450000003</v>
      </c>
      <c r="BU28" s="22">
        <v>3099763.39</v>
      </c>
      <c r="BV28" s="22">
        <v>3020974.39</v>
      </c>
      <c r="BW28" s="22">
        <v>232403.43</v>
      </c>
      <c r="BX28" s="22">
        <v>2500000</v>
      </c>
      <c r="BY28" s="22">
        <v>3132166.82</v>
      </c>
      <c r="BZ28" s="22">
        <v>2500000</v>
      </c>
      <c r="CA28" s="22">
        <v>2500000</v>
      </c>
      <c r="CB28" s="22">
        <v>8132166.8200000003</v>
      </c>
      <c r="CC28" s="19">
        <v>3103914</v>
      </c>
      <c r="CD28" s="47"/>
      <c r="CE28" s="19">
        <v>1034547</v>
      </c>
      <c r="CF28" s="19">
        <v>833618</v>
      </c>
      <c r="CG28" s="19">
        <v>218415</v>
      </c>
      <c r="CH28" s="19">
        <v>973197</v>
      </c>
      <c r="CI28" s="19">
        <v>253506</v>
      </c>
      <c r="CJ28" s="19">
        <v>631515</v>
      </c>
      <c r="CK28" s="19">
        <v>197973</v>
      </c>
      <c r="CL28" s="22">
        <v>404399.56</v>
      </c>
      <c r="CM28" s="22">
        <v>112868.11</v>
      </c>
      <c r="CN28" s="22">
        <v>14480.73</v>
      </c>
      <c r="CO28" s="22">
        <v>10618.56</v>
      </c>
      <c r="CP28" s="22">
        <v>1729</v>
      </c>
      <c r="CQ28" s="22">
        <v>13437</v>
      </c>
      <c r="CR28" s="22">
        <v>126670.32</v>
      </c>
      <c r="CS28" s="22">
        <v>121879.96</v>
      </c>
      <c r="CT28" s="22">
        <v>23008.9</v>
      </c>
      <c r="CU28" s="22">
        <v>35829.01</v>
      </c>
      <c r="CV28" s="22">
        <v>247256.33</v>
      </c>
      <c r="CW28" s="22">
        <v>127825.13</v>
      </c>
      <c r="CX28" s="22">
        <v>24802.2</v>
      </c>
      <c r="CY28" s="22">
        <v>26110.63</v>
      </c>
      <c r="CZ28" s="22">
        <v>223151.41</v>
      </c>
      <c r="DA28" s="19">
        <v>583038</v>
      </c>
      <c r="DB28" s="47"/>
      <c r="DC28" s="19">
        <v>182157</v>
      </c>
      <c r="DD28" s="19">
        <v>148419</v>
      </c>
      <c r="DE28" s="19">
        <v>125479</v>
      </c>
      <c r="DF28" s="19">
        <v>89866</v>
      </c>
      <c r="DG28" s="22">
        <v>33569.08</v>
      </c>
      <c r="DH28" s="22">
        <v>18269.080000000002</v>
      </c>
      <c r="DI28" s="22">
        <v>2840</v>
      </c>
      <c r="DJ28" s="22">
        <v>0</v>
      </c>
      <c r="DK28" s="22">
        <v>0</v>
      </c>
      <c r="DL28" s="22">
        <v>0</v>
      </c>
      <c r="DM28" s="22">
        <v>9272.7999999999993</v>
      </c>
      <c r="DN28" s="22">
        <v>2626.65</v>
      </c>
      <c r="DO28" s="22">
        <v>3718.1</v>
      </c>
      <c r="DP28" s="1"/>
      <c r="DQ28" s="19">
        <v>2930</v>
      </c>
      <c r="DR28" s="19">
        <v>26974</v>
      </c>
      <c r="DS28" s="19">
        <v>604171</v>
      </c>
      <c r="DT28" s="19">
        <v>5102</v>
      </c>
      <c r="DU28" s="22">
        <v>76529.5</v>
      </c>
      <c r="DV28" s="19">
        <v>318717</v>
      </c>
      <c r="DW28" s="19">
        <v>71589</v>
      </c>
      <c r="DX28" s="19">
        <v>86940</v>
      </c>
      <c r="DY28" s="19">
        <v>5963</v>
      </c>
      <c r="DZ28" s="19">
        <v>67619</v>
      </c>
      <c r="EA28" s="19">
        <v>76476</v>
      </c>
      <c r="EB28" s="19">
        <v>4701</v>
      </c>
      <c r="EC28" s="19">
        <v>81178</v>
      </c>
      <c r="ED28" s="19">
        <v>27786</v>
      </c>
      <c r="EE28" s="19">
        <v>5558</v>
      </c>
      <c r="EF28" s="19">
        <v>2627</v>
      </c>
      <c r="EG28" s="22">
        <v>1116</v>
      </c>
      <c r="EH28" s="19">
        <v>262683</v>
      </c>
      <c r="EI28" s="19">
        <v>219085</v>
      </c>
      <c r="EJ28" s="22">
        <v>71708.22</v>
      </c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"/>
    </row>
    <row r="29" spans="1:153" ht="12" customHeight="1">
      <c r="A29" s="1" t="s">
        <v>329</v>
      </c>
      <c r="B29" s="19">
        <v>481</v>
      </c>
      <c r="C29" s="19">
        <v>243</v>
      </c>
      <c r="D29" s="1" t="s">
        <v>5</v>
      </c>
      <c r="E29" s="19">
        <v>234</v>
      </c>
      <c r="F29" s="19">
        <v>5001</v>
      </c>
      <c r="G29" s="20"/>
      <c r="H29" s="20"/>
      <c r="I29" s="20"/>
      <c r="J29" s="20"/>
      <c r="K29" s="20"/>
      <c r="L29" s="20" t="s">
        <v>5</v>
      </c>
      <c r="M29" s="21" t="s">
        <v>5</v>
      </c>
      <c r="N29" s="19">
        <v>323</v>
      </c>
      <c r="O29" s="1" t="s">
        <v>5</v>
      </c>
      <c r="P29" s="19">
        <v>320</v>
      </c>
      <c r="Q29" s="19">
        <v>396</v>
      </c>
      <c r="R29" s="20"/>
      <c r="S29" s="20"/>
      <c r="T29" s="20"/>
      <c r="U29" s="20"/>
      <c r="V29" s="20"/>
      <c r="W29" s="20" t="s">
        <v>5</v>
      </c>
      <c r="X29" s="21" t="s">
        <v>5</v>
      </c>
      <c r="Y29" s="19">
        <v>6381286</v>
      </c>
      <c r="Z29" s="20" t="s">
        <v>5</v>
      </c>
      <c r="AA29" s="19">
        <v>7593105</v>
      </c>
      <c r="AB29" s="20" t="s">
        <v>5</v>
      </c>
      <c r="AC29" s="19">
        <v>7846</v>
      </c>
      <c r="AD29" s="22">
        <v>771296473.51999998</v>
      </c>
      <c r="AE29" s="22">
        <v>720409106.78999996</v>
      </c>
      <c r="AF29" s="22">
        <v>638819526.66999996</v>
      </c>
      <c r="AG29" s="22">
        <v>79262137.569999993</v>
      </c>
      <c r="AH29" s="22">
        <v>495898.55</v>
      </c>
      <c r="AI29" s="22">
        <v>1831544</v>
      </c>
      <c r="AJ29" s="22">
        <v>50887365.090000004</v>
      </c>
      <c r="AK29" s="22">
        <v>755182404.90999997</v>
      </c>
      <c r="AL29" s="22">
        <v>212236859.43000001</v>
      </c>
      <c r="AM29" s="22">
        <v>873355517.55999994</v>
      </c>
      <c r="AN29" s="22">
        <v>824479396.88999999</v>
      </c>
      <c r="AO29" s="22">
        <v>336719053.30000001</v>
      </c>
      <c r="AP29" s="22">
        <v>47611949.740000002</v>
      </c>
      <c r="AQ29" s="22">
        <v>171415749.75999999</v>
      </c>
      <c r="AR29" s="22">
        <v>167760173.99000001</v>
      </c>
      <c r="AS29" s="22">
        <v>2842285.09</v>
      </c>
      <c r="AT29" s="22">
        <v>743596.52</v>
      </c>
      <c r="AU29" s="22">
        <v>14605043.1</v>
      </c>
      <c r="AV29" s="22">
        <v>82781544.680000007</v>
      </c>
      <c r="AW29" s="22">
        <v>5905396.8799999999</v>
      </c>
      <c r="AX29" s="22">
        <v>138993.74</v>
      </c>
      <c r="AY29" s="22">
        <v>6044390.6200000001</v>
      </c>
      <c r="AZ29" s="22">
        <v>2256321.36</v>
      </c>
      <c r="BA29" s="22">
        <v>3349629.93</v>
      </c>
      <c r="BB29" s="22">
        <v>37225778.759999998</v>
      </c>
      <c r="BC29" s="22">
        <v>14444270.09</v>
      </c>
      <c r="BD29" s="22">
        <v>20488660.710000001</v>
      </c>
      <c r="BE29" s="22">
        <v>879353.63</v>
      </c>
      <c r="BF29" s="22">
        <v>13193735.42</v>
      </c>
      <c r="BG29" s="22">
        <v>3643576.21</v>
      </c>
      <c r="BH29" s="22">
        <v>3518673.52</v>
      </c>
      <c r="BI29" s="22">
        <v>19680191.27</v>
      </c>
      <c r="BJ29" s="22">
        <v>1346521.3</v>
      </c>
      <c r="BK29" s="22">
        <v>208626.21</v>
      </c>
      <c r="BL29" s="22">
        <v>21235338.780000001</v>
      </c>
      <c r="BM29" s="22">
        <v>5063754.08</v>
      </c>
      <c r="BN29" s="22">
        <v>59786777.789999999</v>
      </c>
      <c r="BO29" s="22">
        <v>22581204.949999999</v>
      </c>
      <c r="BP29" s="22">
        <v>5107394.0999999996</v>
      </c>
      <c r="BQ29" s="22">
        <v>59838599.990000002</v>
      </c>
      <c r="BR29" s="22">
        <v>13114640.970000001</v>
      </c>
      <c r="BS29" s="22">
        <v>12128349.74</v>
      </c>
      <c r="BT29" s="22">
        <v>89291488.400000006</v>
      </c>
      <c r="BU29" s="22">
        <v>170000</v>
      </c>
      <c r="BV29" s="22">
        <v>2528681.7200000002</v>
      </c>
      <c r="BW29" s="22">
        <v>6000</v>
      </c>
      <c r="BX29" s="22">
        <v>5000</v>
      </c>
      <c r="BY29" s="22">
        <v>2489731.7200000002</v>
      </c>
      <c r="BZ29" s="22">
        <v>63000</v>
      </c>
      <c r="CA29" s="22">
        <v>0</v>
      </c>
      <c r="CB29" s="22">
        <v>2578731.7200000002</v>
      </c>
      <c r="CC29" s="19">
        <v>4718646</v>
      </c>
      <c r="CD29" s="47"/>
      <c r="CE29" s="19">
        <v>2028551</v>
      </c>
      <c r="CF29" s="19">
        <v>1638544</v>
      </c>
      <c r="CG29" s="19">
        <v>959484</v>
      </c>
      <c r="CH29" s="19">
        <v>1727551</v>
      </c>
      <c r="CI29" s="19">
        <v>1044658</v>
      </c>
      <c r="CJ29" s="19">
        <v>1301535</v>
      </c>
      <c r="CK29" s="19">
        <v>915449</v>
      </c>
      <c r="CL29" s="22">
        <v>506206.66</v>
      </c>
      <c r="CM29" s="22">
        <v>103680.59</v>
      </c>
      <c r="CN29" s="22">
        <v>9699.2199999999993</v>
      </c>
      <c r="CO29" s="22">
        <v>22414.77</v>
      </c>
      <c r="CP29" s="22">
        <v>4650.68</v>
      </c>
      <c r="CQ29" s="22">
        <v>13087.6</v>
      </c>
      <c r="CR29" s="22">
        <v>215552.1</v>
      </c>
      <c r="CS29" s="22">
        <v>207065.79</v>
      </c>
      <c r="CT29" s="22">
        <v>152355.07999999999</v>
      </c>
      <c r="CU29" s="22">
        <v>130758.12</v>
      </c>
      <c r="CV29" s="22">
        <v>291551.92</v>
      </c>
      <c r="CW29" s="22">
        <v>250288.6</v>
      </c>
      <c r="CX29" s="22">
        <v>101880.18</v>
      </c>
      <c r="CY29" s="22">
        <v>28642.91</v>
      </c>
      <c r="CZ29" s="22">
        <v>328181.46999999997</v>
      </c>
      <c r="DA29" s="19">
        <v>3382083</v>
      </c>
      <c r="DB29" s="47"/>
      <c r="DC29" s="19">
        <v>1169196</v>
      </c>
      <c r="DD29" s="19">
        <v>1038271</v>
      </c>
      <c r="DE29" s="19">
        <v>721766</v>
      </c>
      <c r="DF29" s="19">
        <v>557902</v>
      </c>
      <c r="DG29" s="22">
        <v>186468.19</v>
      </c>
      <c r="DH29" s="22">
        <v>50115.57</v>
      </c>
      <c r="DI29" s="22">
        <v>622.79999999999995</v>
      </c>
      <c r="DJ29" s="22">
        <v>7.5</v>
      </c>
      <c r="DK29" s="22">
        <v>2610.86</v>
      </c>
      <c r="DL29" s="22">
        <v>900.78</v>
      </c>
      <c r="DM29" s="22">
        <v>36440.99</v>
      </c>
      <c r="DN29" s="22">
        <v>12863.22</v>
      </c>
      <c r="DO29" s="22">
        <v>41533.360000000001</v>
      </c>
      <c r="DP29" s="1"/>
      <c r="DQ29" s="19">
        <v>3695</v>
      </c>
      <c r="DR29" s="19">
        <v>56820</v>
      </c>
      <c r="DS29" s="19">
        <v>1406906</v>
      </c>
      <c r="DT29" s="19">
        <v>4466</v>
      </c>
      <c r="DU29" s="22">
        <v>75492.5</v>
      </c>
      <c r="DV29" s="19">
        <v>1662884</v>
      </c>
      <c r="DW29" s="19">
        <v>480080</v>
      </c>
      <c r="DX29" s="19">
        <v>425173</v>
      </c>
      <c r="DY29" s="19">
        <v>10123</v>
      </c>
      <c r="DZ29" s="19">
        <v>407514</v>
      </c>
      <c r="EA29" s="19">
        <v>261841</v>
      </c>
      <c r="EB29" s="19">
        <v>20433</v>
      </c>
      <c r="EC29" s="19">
        <v>93784</v>
      </c>
      <c r="ED29" s="19">
        <v>77810</v>
      </c>
      <c r="EE29" s="19">
        <v>3195</v>
      </c>
      <c r="EF29" s="19">
        <v>36265</v>
      </c>
      <c r="EG29" s="22">
        <v>230942.2</v>
      </c>
      <c r="EH29" s="19">
        <v>665051</v>
      </c>
      <c r="EI29" s="19">
        <v>611987</v>
      </c>
      <c r="EJ29" s="22">
        <v>927105.16</v>
      </c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"/>
    </row>
    <row r="30" spans="1:153" ht="12" customHeight="1">
      <c r="A30" s="1" t="s">
        <v>330</v>
      </c>
      <c r="B30" s="19">
        <v>779</v>
      </c>
      <c r="C30" s="19">
        <v>481</v>
      </c>
      <c r="D30" s="1" t="s">
        <v>5</v>
      </c>
      <c r="E30" s="19">
        <v>477</v>
      </c>
      <c r="F30" s="19">
        <v>1657</v>
      </c>
      <c r="G30" s="20"/>
      <c r="H30" s="20"/>
      <c r="I30" s="20"/>
      <c r="J30" s="20"/>
      <c r="K30" s="20"/>
      <c r="L30" s="20" t="s">
        <v>5</v>
      </c>
      <c r="M30" s="21" t="s">
        <v>5</v>
      </c>
      <c r="N30" s="19">
        <v>755</v>
      </c>
      <c r="O30" s="1" t="s">
        <v>5</v>
      </c>
      <c r="P30" s="19">
        <v>750</v>
      </c>
      <c r="Q30" s="19">
        <v>1506</v>
      </c>
      <c r="R30" s="20"/>
      <c r="S30" s="20"/>
      <c r="T30" s="20"/>
      <c r="U30" s="20"/>
      <c r="V30" s="20"/>
      <c r="W30" s="20" t="s">
        <v>5</v>
      </c>
      <c r="X30" s="21" t="s">
        <v>5</v>
      </c>
      <c r="Y30" s="19">
        <v>18645443</v>
      </c>
      <c r="Z30" s="20" t="s">
        <v>5</v>
      </c>
      <c r="AA30" s="19">
        <v>23110385</v>
      </c>
      <c r="AB30" s="20" t="s">
        <v>5</v>
      </c>
      <c r="AC30" s="19">
        <v>32204</v>
      </c>
      <c r="AD30" s="22">
        <v>7262691780.6999998</v>
      </c>
      <c r="AE30" s="22">
        <v>6669544431.3999996</v>
      </c>
      <c r="AF30" s="22">
        <v>3726479945.75</v>
      </c>
      <c r="AG30" s="22">
        <v>2918353636.2800002</v>
      </c>
      <c r="AH30" s="22">
        <v>6797325.2999999998</v>
      </c>
      <c r="AI30" s="22">
        <v>17913524.07</v>
      </c>
      <c r="AJ30" s="22">
        <v>593147346</v>
      </c>
      <c r="AK30" s="22">
        <v>7103383383.1899996</v>
      </c>
      <c r="AL30" s="22">
        <v>3087680240.9899998</v>
      </c>
      <c r="AM30" s="22">
        <v>6601597051.2799997</v>
      </c>
      <c r="AN30" s="22">
        <v>6128803152.5100002</v>
      </c>
      <c r="AO30" s="22">
        <v>2290736592.54</v>
      </c>
      <c r="AP30" s="22">
        <v>365897683.38</v>
      </c>
      <c r="AQ30" s="22">
        <v>1284022230.1300001</v>
      </c>
      <c r="AR30" s="22">
        <v>1405415821.53</v>
      </c>
      <c r="AS30" s="22">
        <v>91881439.420000002</v>
      </c>
      <c r="AT30" s="22">
        <v>23355245.620000001</v>
      </c>
      <c r="AU30" s="22">
        <v>81518440.840000004</v>
      </c>
      <c r="AV30" s="22">
        <v>585975696.95000005</v>
      </c>
      <c r="AW30" s="22">
        <v>59044111.07</v>
      </c>
      <c r="AX30" s="22">
        <v>1046281.91</v>
      </c>
      <c r="AY30" s="22">
        <v>60090392.979999997</v>
      </c>
      <c r="AZ30" s="22">
        <v>145606408.12</v>
      </c>
      <c r="BA30" s="22">
        <v>16240445.300000001</v>
      </c>
      <c r="BB30" s="22">
        <v>250856650.68000001</v>
      </c>
      <c r="BC30" s="22">
        <v>87660330.209999993</v>
      </c>
      <c r="BD30" s="22">
        <v>147750723.19</v>
      </c>
      <c r="BE30" s="22">
        <v>39350212.07</v>
      </c>
      <c r="BF30" s="22">
        <v>211205504.77000001</v>
      </c>
      <c r="BG30" s="22">
        <v>279542101.95999998</v>
      </c>
      <c r="BH30" s="22">
        <v>63722265.240000002</v>
      </c>
      <c r="BI30" s="22">
        <v>499175654.75999999</v>
      </c>
      <c r="BJ30" s="22">
        <v>52014785.689999998</v>
      </c>
      <c r="BK30" s="22">
        <v>42629643.590000004</v>
      </c>
      <c r="BL30" s="22">
        <v>593820084.03999996</v>
      </c>
      <c r="BM30" s="22">
        <v>8006814.54</v>
      </c>
      <c r="BN30" s="22">
        <v>92763603.849999994</v>
      </c>
      <c r="BO30" s="22">
        <v>162038076.83000001</v>
      </c>
      <c r="BP30" s="22">
        <v>13681255.17</v>
      </c>
      <c r="BQ30" s="22">
        <v>176746372.16</v>
      </c>
      <c r="BR30" s="22">
        <v>58004864.939999998</v>
      </c>
      <c r="BS30" s="22">
        <v>40467143.700000003</v>
      </c>
      <c r="BT30" s="22">
        <v>277267492.94</v>
      </c>
      <c r="BU30" s="22">
        <v>769100.34</v>
      </c>
      <c r="BV30" s="22">
        <v>16380564.539999999</v>
      </c>
      <c r="BW30" s="22">
        <v>12956865.869999999</v>
      </c>
      <c r="BX30" s="22">
        <v>1237600.24</v>
      </c>
      <c r="BY30" s="22">
        <v>19113045.890000001</v>
      </c>
      <c r="BZ30" s="22">
        <v>0</v>
      </c>
      <c r="CA30" s="22">
        <v>9760368.7400000002</v>
      </c>
      <c r="CB30" s="22">
        <v>28268479.48</v>
      </c>
      <c r="CC30" s="19">
        <v>17276241</v>
      </c>
      <c r="CD30" s="47"/>
      <c r="CE30" s="19">
        <v>7091415</v>
      </c>
      <c r="CF30" s="19">
        <v>6558230</v>
      </c>
      <c r="CG30" s="19">
        <v>6130874</v>
      </c>
      <c r="CH30" s="19">
        <v>7770297</v>
      </c>
      <c r="CI30" s="19">
        <v>7327276</v>
      </c>
      <c r="CJ30" s="19">
        <v>6756541</v>
      </c>
      <c r="CK30" s="19">
        <v>6457431</v>
      </c>
      <c r="CL30" s="22">
        <v>2118378.17</v>
      </c>
      <c r="CM30" s="22">
        <v>1522372.76</v>
      </c>
      <c r="CN30" s="22">
        <v>34498.660000000003</v>
      </c>
      <c r="CO30" s="22">
        <v>53531.51</v>
      </c>
      <c r="CP30" s="22">
        <v>105</v>
      </c>
      <c r="CQ30" s="22">
        <v>4357.12</v>
      </c>
      <c r="CR30" s="22">
        <v>1344276.26</v>
      </c>
      <c r="CS30" s="22">
        <v>715520.93</v>
      </c>
      <c r="CT30" s="22">
        <v>1785198.8</v>
      </c>
      <c r="CU30" s="22">
        <v>1151731.23</v>
      </c>
      <c r="CV30" s="22">
        <v>1333785.1399999999</v>
      </c>
      <c r="CW30" s="22">
        <v>1387779.19</v>
      </c>
      <c r="CX30" s="22">
        <v>911458.69</v>
      </c>
      <c r="CY30" s="22">
        <v>89773.45</v>
      </c>
      <c r="CZ30" s="22">
        <v>1426253.15</v>
      </c>
      <c r="DA30" s="19">
        <v>19587882</v>
      </c>
      <c r="DB30" s="47"/>
      <c r="DC30" s="19">
        <v>7616336</v>
      </c>
      <c r="DD30" s="19">
        <v>7077821</v>
      </c>
      <c r="DE30" s="19">
        <v>7439120</v>
      </c>
      <c r="DF30" s="19">
        <v>6607120</v>
      </c>
      <c r="DG30" s="22">
        <v>1392072.86</v>
      </c>
      <c r="DH30" s="22">
        <v>872924.38</v>
      </c>
      <c r="DI30" s="22">
        <v>28221.88</v>
      </c>
      <c r="DJ30" s="22">
        <v>18956.87</v>
      </c>
      <c r="DK30" s="22">
        <v>8180.11</v>
      </c>
      <c r="DL30" s="22">
        <v>2886.89</v>
      </c>
      <c r="DM30" s="22">
        <v>1060075.6599999999</v>
      </c>
      <c r="DN30" s="22">
        <v>87963.839999999997</v>
      </c>
      <c r="DO30" s="22">
        <v>266189.90000000002</v>
      </c>
      <c r="DP30" s="1"/>
      <c r="DQ30" s="19">
        <v>7991</v>
      </c>
      <c r="DR30" s="19">
        <v>84625</v>
      </c>
      <c r="DS30" s="19">
        <v>5149086</v>
      </c>
      <c r="DT30" s="19">
        <v>10179</v>
      </c>
      <c r="DU30" s="22">
        <v>208786.78</v>
      </c>
      <c r="DV30" s="19">
        <v>2146077</v>
      </c>
      <c r="DW30" s="19">
        <v>2434998</v>
      </c>
      <c r="DX30" s="19">
        <v>2768902</v>
      </c>
      <c r="DY30" s="19">
        <v>32492</v>
      </c>
      <c r="DZ30" s="19">
        <v>2376878</v>
      </c>
      <c r="EA30" s="19">
        <v>2418896</v>
      </c>
      <c r="EB30" s="19">
        <v>70003</v>
      </c>
      <c r="EC30" s="19">
        <v>487307</v>
      </c>
      <c r="ED30" s="19">
        <v>497064</v>
      </c>
      <c r="EE30" s="19">
        <v>8183</v>
      </c>
      <c r="EF30" s="19">
        <v>184219</v>
      </c>
      <c r="EG30" s="22">
        <v>3692954.3</v>
      </c>
      <c r="EH30" s="19">
        <v>3977178</v>
      </c>
      <c r="EI30" s="19">
        <v>3628860</v>
      </c>
      <c r="EJ30" s="22">
        <v>43955513.829999998</v>
      </c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"/>
    </row>
    <row r="31" spans="1:153" ht="12" customHeight="1">
      <c r="A31" s="1" t="s">
        <v>331</v>
      </c>
      <c r="B31" s="19">
        <v>346</v>
      </c>
      <c r="C31" s="19">
        <v>299</v>
      </c>
      <c r="D31" s="1" t="s">
        <v>5</v>
      </c>
      <c r="E31" s="19">
        <v>298</v>
      </c>
      <c r="F31" s="19">
        <v>2441</v>
      </c>
      <c r="G31" s="20"/>
      <c r="H31" s="20"/>
      <c r="I31" s="20"/>
      <c r="J31" s="20"/>
      <c r="K31" s="20"/>
      <c r="L31" s="20" t="s">
        <v>5</v>
      </c>
      <c r="M31" s="21" t="s">
        <v>5</v>
      </c>
      <c r="N31" s="19">
        <v>137</v>
      </c>
      <c r="O31" s="1" t="s">
        <v>5</v>
      </c>
      <c r="P31" s="19">
        <v>135</v>
      </c>
      <c r="Q31" s="19">
        <v>74</v>
      </c>
      <c r="R31" s="20"/>
      <c r="S31" s="20"/>
      <c r="T31" s="20"/>
      <c r="U31" s="20"/>
      <c r="V31" s="20"/>
      <c r="W31" s="20" t="s">
        <v>5</v>
      </c>
      <c r="X31" s="21" t="s">
        <v>5</v>
      </c>
      <c r="Y31" s="19">
        <v>6878493</v>
      </c>
      <c r="Z31" s="20" t="s">
        <v>5</v>
      </c>
      <c r="AA31" s="19">
        <v>5866645</v>
      </c>
      <c r="AB31" s="20" t="s">
        <v>5</v>
      </c>
      <c r="AC31" s="19">
        <v>7728</v>
      </c>
      <c r="AD31" s="22">
        <v>2968085111.1199999</v>
      </c>
      <c r="AE31" s="22">
        <v>2746297704.1900001</v>
      </c>
      <c r="AF31" s="22">
        <v>2169894387.71</v>
      </c>
      <c r="AG31" s="22">
        <v>543806963.33000004</v>
      </c>
      <c r="AH31" s="22">
        <v>32595852.149999999</v>
      </c>
      <c r="AI31" s="22">
        <v>501</v>
      </c>
      <c r="AJ31" s="22">
        <v>221787405.69</v>
      </c>
      <c r="AK31" s="22">
        <v>2811181691.6900001</v>
      </c>
      <c r="AL31" s="22">
        <v>548480003.61000001</v>
      </c>
      <c r="AM31" s="22">
        <v>2316567936.6599998</v>
      </c>
      <c r="AN31" s="22">
        <v>2154513203.9299998</v>
      </c>
      <c r="AO31" s="22">
        <v>839087492.37</v>
      </c>
      <c r="AP31" s="22">
        <v>110848104.77</v>
      </c>
      <c r="AQ31" s="22">
        <v>366254872.69</v>
      </c>
      <c r="AR31" s="22">
        <v>512607870.05000001</v>
      </c>
      <c r="AS31" s="22">
        <v>40062784.490000002</v>
      </c>
      <c r="AT31" s="22">
        <v>473900.68</v>
      </c>
      <c r="AU31" s="22">
        <v>31957415.059999999</v>
      </c>
      <c r="AV31" s="22">
        <v>253220762.81999999</v>
      </c>
      <c r="AW31" s="22">
        <v>36804707.619999997</v>
      </c>
      <c r="AX31" s="22">
        <v>4379634.1500000004</v>
      </c>
      <c r="AY31" s="22">
        <v>41184341.770000003</v>
      </c>
      <c r="AZ31" s="22">
        <v>53130978.75</v>
      </c>
      <c r="BA31" s="22">
        <v>1123130.1499999999</v>
      </c>
      <c r="BB31" s="22">
        <v>66616281.030000001</v>
      </c>
      <c r="BC31" s="22">
        <v>74345781.25</v>
      </c>
      <c r="BD31" s="22">
        <v>115530123.02</v>
      </c>
      <c r="BE31" s="22">
        <v>2339878.61</v>
      </c>
      <c r="BF31" s="22">
        <v>215184216.41999999</v>
      </c>
      <c r="BG31" s="22">
        <v>100637421.31999999</v>
      </c>
      <c r="BH31" s="22">
        <v>59296398.200000003</v>
      </c>
      <c r="BI31" s="22">
        <v>312286542.75999999</v>
      </c>
      <c r="BJ31" s="22">
        <v>63923206.960000001</v>
      </c>
      <c r="BK31" s="22">
        <v>1248164.83</v>
      </c>
      <c r="BL31" s="22">
        <v>377457914.55000001</v>
      </c>
      <c r="BM31" s="22">
        <v>5492393.7699999996</v>
      </c>
      <c r="BN31" s="22">
        <v>37361411.75</v>
      </c>
      <c r="BO31" s="22">
        <v>4065556.46</v>
      </c>
      <c r="BP31" s="22">
        <v>2292720.91</v>
      </c>
      <c r="BQ31" s="22">
        <v>44585496.159999996</v>
      </c>
      <c r="BR31" s="22">
        <v>2461460.77</v>
      </c>
      <c r="BS31" s="22">
        <v>3349010.02</v>
      </c>
      <c r="BT31" s="22">
        <v>48994052.890000001</v>
      </c>
      <c r="BU31" s="22">
        <v>73351</v>
      </c>
      <c r="BV31" s="22">
        <v>3597556.57</v>
      </c>
      <c r="BW31" s="22">
        <v>2000</v>
      </c>
      <c r="BX31" s="22">
        <v>118990</v>
      </c>
      <c r="BY31" s="22">
        <v>2822947.92</v>
      </c>
      <c r="BZ31" s="22">
        <v>10000</v>
      </c>
      <c r="CA31" s="22">
        <v>307000</v>
      </c>
      <c r="CB31" s="22">
        <v>3069947.92</v>
      </c>
      <c r="CC31" s="19">
        <v>6469622</v>
      </c>
      <c r="CD31" s="47"/>
      <c r="CE31" s="19">
        <v>2178573</v>
      </c>
      <c r="CF31" s="19">
        <v>1957843</v>
      </c>
      <c r="CG31" s="19">
        <v>1867018</v>
      </c>
      <c r="CH31" s="19">
        <v>2936372</v>
      </c>
      <c r="CI31" s="19">
        <v>2836987</v>
      </c>
      <c r="CJ31" s="19">
        <v>2562514</v>
      </c>
      <c r="CK31" s="19">
        <v>2424739</v>
      </c>
      <c r="CL31" s="22">
        <v>702398.82</v>
      </c>
      <c r="CM31" s="22">
        <v>529740.43000000005</v>
      </c>
      <c r="CN31" s="22">
        <v>54875.12</v>
      </c>
      <c r="CO31" s="22">
        <v>34973.43</v>
      </c>
      <c r="CP31" s="22">
        <v>2711</v>
      </c>
      <c r="CQ31" s="22">
        <v>17180.669999999998</v>
      </c>
      <c r="CR31" s="22">
        <v>594019.26</v>
      </c>
      <c r="CS31" s="22">
        <v>96820.479999999996</v>
      </c>
      <c r="CT31" s="22">
        <v>624183.16</v>
      </c>
      <c r="CU31" s="22">
        <v>401116.37</v>
      </c>
      <c r="CV31" s="22">
        <v>461118.56</v>
      </c>
      <c r="CW31" s="22">
        <v>452044.31</v>
      </c>
      <c r="CX31" s="22">
        <v>315930.78999999998</v>
      </c>
      <c r="CY31" s="22">
        <v>45502.7</v>
      </c>
      <c r="CZ31" s="22">
        <v>378780.91</v>
      </c>
      <c r="DA31" s="19">
        <v>3526872</v>
      </c>
      <c r="DB31" s="47"/>
      <c r="DC31" s="19">
        <v>993195</v>
      </c>
      <c r="DD31" s="19">
        <v>944179</v>
      </c>
      <c r="DE31" s="19">
        <v>1546664</v>
      </c>
      <c r="DF31" s="19">
        <v>1362477</v>
      </c>
      <c r="DG31" s="22">
        <v>212434.13</v>
      </c>
      <c r="DH31" s="22">
        <v>162379.84</v>
      </c>
      <c r="DI31" s="22">
        <v>431.08</v>
      </c>
      <c r="DJ31" s="22">
        <v>0.79</v>
      </c>
      <c r="DK31" s="22">
        <v>439.59</v>
      </c>
      <c r="DL31" s="22">
        <v>356.78</v>
      </c>
      <c r="DM31" s="22">
        <v>145057.32999999999</v>
      </c>
      <c r="DN31" s="22">
        <v>14196.42</v>
      </c>
      <c r="DO31" s="22">
        <v>60662.91</v>
      </c>
      <c r="DP31" s="1"/>
      <c r="DQ31" s="19">
        <v>3891</v>
      </c>
      <c r="DR31" s="19">
        <v>43120</v>
      </c>
      <c r="DS31" s="19">
        <v>644572</v>
      </c>
      <c r="DT31" s="19">
        <v>2867</v>
      </c>
      <c r="DU31" s="22">
        <v>26779.38</v>
      </c>
      <c r="DV31" s="19">
        <v>1492194</v>
      </c>
      <c r="DW31" s="19">
        <v>726956</v>
      </c>
      <c r="DX31" s="19">
        <v>813024</v>
      </c>
      <c r="DY31" s="19">
        <v>11210</v>
      </c>
      <c r="DZ31" s="19">
        <v>725566</v>
      </c>
      <c r="EA31" s="19">
        <v>833305</v>
      </c>
      <c r="EB31" s="19">
        <v>27786</v>
      </c>
      <c r="EC31" s="19">
        <v>131157</v>
      </c>
      <c r="ED31" s="19">
        <v>142452</v>
      </c>
      <c r="EE31" s="19">
        <v>3595</v>
      </c>
      <c r="EF31" s="19">
        <v>24811</v>
      </c>
      <c r="EG31" s="22">
        <v>355199.8</v>
      </c>
      <c r="EH31" s="19">
        <v>1746376</v>
      </c>
      <c r="EI31" s="19">
        <v>1528870</v>
      </c>
      <c r="EJ31" s="22">
        <v>7002438.04</v>
      </c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"/>
    </row>
    <row r="32" spans="1:153" ht="12" customHeight="1">
      <c r="A32" s="1" t="s">
        <v>332</v>
      </c>
      <c r="B32" s="19">
        <v>121</v>
      </c>
      <c r="C32" s="19">
        <v>117</v>
      </c>
      <c r="D32" s="1" t="s">
        <v>5</v>
      </c>
      <c r="E32" s="19">
        <v>117</v>
      </c>
      <c r="F32" s="19">
        <v>238</v>
      </c>
      <c r="G32" s="20"/>
      <c r="H32" s="20"/>
      <c r="I32" s="20"/>
      <c r="J32" s="20"/>
      <c r="K32" s="20"/>
      <c r="L32" s="20" t="s">
        <v>5</v>
      </c>
      <c r="M32" s="21" t="s">
        <v>5</v>
      </c>
      <c r="N32" s="19">
        <v>37</v>
      </c>
      <c r="O32" s="1" t="s">
        <v>5</v>
      </c>
      <c r="P32" s="19">
        <v>37</v>
      </c>
      <c r="Q32" s="19">
        <v>5</v>
      </c>
      <c r="R32" s="20"/>
      <c r="S32" s="20"/>
      <c r="T32" s="20"/>
      <c r="U32" s="20"/>
      <c r="V32" s="20"/>
      <c r="W32" s="20" t="s">
        <v>5</v>
      </c>
      <c r="X32" s="21" t="s">
        <v>5</v>
      </c>
      <c r="Y32" s="19">
        <v>2407470</v>
      </c>
      <c r="Z32" s="20" t="s">
        <v>5</v>
      </c>
      <c r="AA32" s="19">
        <v>1683192</v>
      </c>
      <c r="AB32" s="20" t="s">
        <v>5</v>
      </c>
      <c r="AC32" s="19">
        <v>2563</v>
      </c>
      <c r="AD32" s="22">
        <v>587448399.37</v>
      </c>
      <c r="AE32" s="22">
        <v>520300264.62</v>
      </c>
      <c r="AF32" s="22">
        <v>424292846.88999999</v>
      </c>
      <c r="AG32" s="22">
        <v>96004504.730000004</v>
      </c>
      <c r="AH32" s="22">
        <v>2913</v>
      </c>
      <c r="AI32" s="22">
        <v>0</v>
      </c>
      <c r="AJ32" s="22">
        <v>67148132.519999996</v>
      </c>
      <c r="AK32" s="22">
        <v>550010180.23000002</v>
      </c>
      <c r="AL32" s="22">
        <v>208031811.94999999</v>
      </c>
      <c r="AM32" s="22">
        <v>488911326</v>
      </c>
      <c r="AN32" s="22">
        <v>457071810.02999997</v>
      </c>
      <c r="AO32" s="22">
        <v>137580945.08000001</v>
      </c>
      <c r="AP32" s="22">
        <v>22177683.309999999</v>
      </c>
      <c r="AQ32" s="22">
        <v>119033834.70999999</v>
      </c>
      <c r="AR32" s="22">
        <v>115454665.98</v>
      </c>
      <c r="AS32" s="22">
        <v>34110.199999999997</v>
      </c>
      <c r="AT32" s="22">
        <v>0</v>
      </c>
      <c r="AU32" s="22">
        <v>5155297.4800000004</v>
      </c>
      <c r="AV32" s="22">
        <v>57635272.670000002</v>
      </c>
      <c r="AW32" s="22">
        <v>180220.23</v>
      </c>
      <c r="AX32" s="22">
        <v>5812</v>
      </c>
      <c r="AY32" s="22">
        <v>186032.23</v>
      </c>
      <c r="AZ32" s="22">
        <v>11089305.84</v>
      </c>
      <c r="BA32" s="22">
        <v>403025.5</v>
      </c>
      <c r="BB32" s="22">
        <v>20161152.309999999</v>
      </c>
      <c r="BC32" s="22">
        <v>13265647.210000001</v>
      </c>
      <c r="BD32" s="22">
        <v>13451679.439999999</v>
      </c>
      <c r="BE32" s="22">
        <v>693124.15</v>
      </c>
      <c r="BF32" s="22">
        <v>15554116.16</v>
      </c>
      <c r="BG32" s="22">
        <v>4602931.09</v>
      </c>
      <c r="BH32" s="22">
        <v>5063253.8499999996</v>
      </c>
      <c r="BI32" s="22">
        <v>21097814.199999999</v>
      </c>
      <c r="BJ32" s="22">
        <v>4815611.05</v>
      </c>
      <c r="BK32" s="22">
        <v>0</v>
      </c>
      <c r="BL32" s="22">
        <v>25913425.25</v>
      </c>
      <c r="BM32" s="22">
        <v>1480041.86</v>
      </c>
      <c r="BN32" s="22">
        <v>21533119.710000001</v>
      </c>
      <c r="BO32" s="22">
        <v>6843177.8399999999</v>
      </c>
      <c r="BP32" s="22">
        <v>2646382.1800000002</v>
      </c>
      <c r="BQ32" s="22">
        <v>29482077.789999999</v>
      </c>
      <c r="BR32" s="22">
        <v>717202.03</v>
      </c>
      <c r="BS32" s="22">
        <v>2303441.77</v>
      </c>
      <c r="BT32" s="22">
        <v>24897337.829999998</v>
      </c>
      <c r="BU32" s="22">
        <v>247482</v>
      </c>
      <c r="BV32" s="22">
        <v>6665963.1299999999</v>
      </c>
      <c r="BW32" s="22">
        <v>0</v>
      </c>
      <c r="BX32" s="22">
        <v>297367.40000000002</v>
      </c>
      <c r="BY32" s="22">
        <v>0</v>
      </c>
      <c r="BZ32" s="22">
        <v>687539.24</v>
      </c>
      <c r="CA32" s="22">
        <v>0</v>
      </c>
      <c r="CB32" s="22">
        <v>7210812.5300000003</v>
      </c>
      <c r="CC32" s="19">
        <v>2075582</v>
      </c>
      <c r="CD32" s="47"/>
      <c r="CE32" s="19">
        <v>857776</v>
      </c>
      <c r="CF32" s="19">
        <v>774913</v>
      </c>
      <c r="CG32" s="19">
        <v>675583</v>
      </c>
      <c r="CH32" s="19">
        <v>839264</v>
      </c>
      <c r="CI32" s="19">
        <v>714125</v>
      </c>
      <c r="CJ32" s="19">
        <v>699030</v>
      </c>
      <c r="CK32" s="19">
        <v>561394</v>
      </c>
      <c r="CL32" s="22">
        <v>250390.1</v>
      </c>
      <c r="CM32" s="22">
        <v>124555.86</v>
      </c>
      <c r="CN32" s="22">
        <v>4848.3999999999996</v>
      </c>
      <c r="CO32" s="22">
        <v>5613.5</v>
      </c>
      <c r="CP32" s="22">
        <v>690</v>
      </c>
      <c r="CQ32" s="22">
        <v>10.1</v>
      </c>
      <c r="CR32" s="22">
        <v>157146.37</v>
      </c>
      <c r="CS32" s="22">
        <v>82004.479999999996</v>
      </c>
      <c r="CT32" s="22">
        <v>86504.28</v>
      </c>
      <c r="CU32" s="22">
        <v>113998.59</v>
      </c>
      <c r="CV32" s="22">
        <v>146084.45000000001</v>
      </c>
      <c r="CW32" s="22">
        <v>145568.25</v>
      </c>
      <c r="CX32" s="22">
        <v>88378.61</v>
      </c>
      <c r="CY32" s="22">
        <v>15182.74</v>
      </c>
      <c r="CZ32" s="22">
        <v>112914.78</v>
      </c>
      <c r="DA32" s="19">
        <v>749514</v>
      </c>
      <c r="DB32" s="47"/>
      <c r="DC32" s="19">
        <v>263546</v>
      </c>
      <c r="DD32" s="19">
        <v>252807</v>
      </c>
      <c r="DE32" s="19">
        <v>275882</v>
      </c>
      <c r="DF32" s="19">
        <v>220070</v>
      </c>
      <c r="DG32" s="22">
        <v>46924.63</v>
      </c>
      <c r="DH32" s="22">
        <v>37381.58</v>
      </c>
      <c r="DI32" s="22">
        <v>0</v>
      </c>
      <c r="DJ32" s="22">
        <v>0</v>
      </c>
      <c r="DK32" s="22">
        <v>0</v>
      </c>
      <c r="DL32" s="22">
        <v>0</v>
      </c>
      <c r="DM32" s="22">
        <v>51270.16</v>
      </c>
      <c r="DN32" s="22">
        <v>4239.07</v>
      </c>
      <c r="DO32" s="22">
        <v>8547.2900000000009</v>
      </c>
      <c r="DP32" s="1"/>
      <c r="DQ32" s="19">
        <v>2211</v>
      </c>
      <c r="DR32" s="19">
        <v>22045</v>
      </c>
      <c r="DS32" s="19">
        <v>193742</v>
      </c>
      <c r="DT32" s="19">
        <v>1751</v>
      </c>
      <c r="DU32" s="22">
        <v>915859</v>
      </c>
      <c r="DV32" s="19">
        <v>536036</v>
      </c>
      <c r="DW32" s="19">
        <v>249388</v>
      </c>
      <c r="DX32" s="19">
        <v>298528</v>
      </c>
      <c r="DY32" s="19">
        <v>6712</v>
      </c>
      <c r="DZ32" s="19">
        <v>270821</v>
      </c>
      <c r="EA32" s="19">
        <v>305540</v>
      </c>
      <c r="EB32" s="19">
        <v>24834</v>
      </c>
      <c r="EC32" s="19">
        <v>48978</v>
      </c>
      <c r="ED32" s="19">
        <v>49826</v>
      </c>
      <c r="EE32" s="19">
        <v>3626</v>
      </c>
      <c r="EF32" s="19">
        <v>12942</v>
      </c>
      <c r="EG32" s="22">
        <v>1933.7</v>
      </c>
      <c r="EH32" s="19">
        <v>1377315</v>
      </c>
      <c r="EI32" s="19">
        <v>1328789</v>
      </c>
      <c r="EJ32" s="22">
        <v>169908.95</v>
      </c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"/>
    </row>
    <row r="33" spans="1:153" ht="12" customHeight="1">
      <c r="A33" s="23" t="s">
        <v>333</v>
      </c>
      <c r="B33" s="24">
        <v>1861</v>
      </c>
      <c r="C33" s="24">
        <v>1261</v>
      </c>
      <c r="D33" s="18" t="s">
        <v>5</v>
      </c>
      <c r="E33" s="24">
        <v>1247</v>
      </c>
      <c r="F33" s="25">
        <f>SUM(F28:F32)</f>
        <v>11015</v>
      </c>
      <c r="G33" s="24"/>
      <c r="H33" s="24"/>
      <c r="I33" s="24"/>
      <c r="J33" s="24"/>
      <c r="K33" s="24"/>
      <c r="L33" s="24" t="s">
        <v>5</v>
      </c>
      <c r="M33" s="26" t="s">
        <v>5</v>
      </c>
      <c r="N33" s="24">
        <v>1289</v>
      </c>
      <c r="O33" s="18" t="s">
        <v>5</v>
      </c>
      <c r="P33" s="24">
        <v>1279</v>
      </c>
      <c r="Q33" s="25">
        <f>SUM(Q28:Q32)</f>
        <v>2032</v>
      </c>
      <c r="R33" s="24"/>
      <c r="S33" s="24"/>
      <c r="T33" s="24"/>
      <c r="U33" s="24"/>
      <c r="V33" s="24"/>
      <c r="W33" s="24" t="s">
        <v>5</v>
      </c>
      <c r="X33" s="26" t="s">
        <v>5</v>
      </c>
      <c r="Y33" s="24">
        <v>38908921</v>
      </c>
      <c r="Z33" s="24" t="s">
        <v>334</v>
      </c>
      <c r="AA33" s="24">
        <v>40434321</v>
      </c>
      <c r="AB33" s="24" t="s">
        <v>334</v>
      </c>
      <c r="AC33" s="25">
        <f t="shared" ref="AC33:BH33" si="8">SUM(AC28:AC32)</f>
        <v>54154</v>
      </c>
      <c r="AD33" s="25">
        <f t="shared" si="8"/>
        <v>11815068691.18</v>
      </c>
      <c r="AE33" s="25">
        <f t="shared" si="8"/>
        <v>10861882221.950001</v>
      </c>
      <c r="AF33" s="25">
        <f t="shared" si="8"/>
        <v>7140417771.79</v>
      </c>
      <c r="AG33" s="25">
        <f t="shared" si="8"/>
        <v>3660146792.0900002</v>
      </c>
      <c r="AH33" s="25">
        <f t="shared" si="8"/>
        <v>41572089</v>
      </c>
      <c r="AI33" s="25">
        <f t="shared" si="8"/>
        <v>19745569.07</v>
      </c>
      <c r="AJ33" s="25">
        <f t="shared" si="8"/>
        <v>953186460.81999993</v>
      </c>
      <c r="AK33" s="25">
        <f t="shared" si="8"/>
        <v>11398025818.719999</v>
      </c>
      <c r="AL33" s="25">
        <f t="shared" si="8"/>
        <v>4088066824.2899995</v>
      </c>
      <c r="AM33" s="25">
        <f t="shared" si="8"/>
        <v>10668105717.58</v>
      </c>
      <c r="AN33" s="25">
        <f t="shared" si="8"/>
        <v>9940634627.4800014</v>
      </c>
      <c r="AO33" s="25">
        <f t="shared" si="8"/>
        <v>3743026554.3299999</v>
      </c>
      <c r="AP33" s="25">
        <f t="shared" si="8"/>
        <v>589517179.53999996</v>
      </c>
      <c r="AQ33" s="25">
        <f t="shared" si="8"/>
        <v>2044057794.7900002</v>
      </c>
      <c r="AR33" s="25">
        <f t="shared" si="8"/>
        <v>2273745458.7000003</v>
      </c>
      <c r="AS33" s="25">
        <f t="shared" si="8"/>
        <v>135116121.19999999</v>
      </c>
      <c r="AT33" s="25">
        <f t="shared" si="8"/>
        <v>24572742.82</v>
      </c>
      <c r="AU33" s="25">
        <f t="shared" si="8"/>
        <v>134991853.38</v>
      </c>
      <c r="AV33" s="25">
        <f t="shared" si="8"/>
        <v>995606918.31000006</v>
      </c>
      <c r="AW33" s="25">
        <f t="shared" si="8"/>
        <v>103195415.63000001</v>
      </c>
      <c r="AX33" s="25">
        <f t="shared" si="8"/>
        <v>5576651.8000000007</v>
      </c>
      <c r="AY33" s="25">
        <f t="shared" si="8"/>
        <v>108772067.42999999</v>
      </c>
      <c r="AZ33" s="25">
        <f t="shared" si="8"/>
        <v>213214171.75</v>
      </c>
      <c r="BA33" s="25">
        <f t="shared" si="8"/>
        <v>22162311.489999998</v>
      </c>
      <c r="BB33" s="25">
        <f t="shared" si="8"/>
        <v>383322536.59999996</v>
      </c>
      <c r="BC33" s="25">
        <f t="shared" si="8"/>
        <v>194056191.33000001</v>
      </c>
      <c r="BD33" s="25">
        <f t="shared" si="8"/>
        <v>302828258.75999999</v>
      </c>
      <c r="BE33" s="25">
        <f t="shared" si="8"/>
        <v>44270860.350000001</v>
      </c>
      <c r="BF33" s="25">
        <f t="shared" si="8"/>
        <v>472190244.95999998</v>
      </c>
      <c r="BG33" s="25">
        <f t="shared" si="8"/>
        <v>391399155.92999995</v>
      </c>
      <c r="BH33" s="25">
        <f t="shared" si="8"/>
        <v>134016209.25</v>
      </c>
      <c r="BI33" s="25">
        <f t="shared" ref="BI33:CN33" si="9">SUM(BI28:BI32)</f>
        <v>875313766.52999997</v>
      </c>
      <c r="BJ33" s="25">
        <f t="shared" si="9"/>
        <v>122259435.01000001</v>
      </c>
      <c r="BK33" s="25">
        <f t="shared" si="9"/>
        <v>44303268.950000003</v>
      </c>
      <c r="BL33" s="25">
        <f t="shared" si="9"/>
        <v>1041876470.49</v>
      </c>
      <c r="BM33" s="25">
        <f t="shared" si="9"/>
        <v>21824947.32</v>
      </c>
      <c r="BN33" s="25">
        <f t="shared" si="9"/>
        <v>233688810.90000001</v>
      </c>
      <c r="BO33" s="25">
        <f t="shared" si="9"/>
        <v>205029632.08000001</v>
      </c>
      <c r="BP33" s="25">
        <f t="shared" si="9"/>
        <v>26366179.940000001</v>
      </c>
      <c r="BQ33" s="25">
        <f t="shared" si="9"/>
        <v>335529832.05000001</v>
      </c>
      <c r="BR33" s="25">
        <f t="shared" si="9"/>
        <v>76814769.809999987</v>
      </c>
      <c r="BS33" s="25">
        <f t="shared" si="9"/>
        <v>67719618.550000012</v>
      </c>
      <c r="BT33" s="25">
        <f t="shared" si="9"/>
        <v>476526256.50999999</v>
      </c>
      <c r="BU33" s="25">
        <f t="shared" si="9"/>
        <v>4359696.7300000004</v>
      </c>
      <c r="BV33" s="25">
        <f t="shared" si="9"/>
        <v>32193740.349999998</v>
      </c>
      <c r="BW33" s="25">
        <f t="shared" si="9"/>
        <v>13197269.299999999</v>
      </c>
      <c r="BX33" s="25">
        <f t="shared" si="9"/>
        <v>4158957.64</v>
      </c>
      <c r="BY33" s="25">
        <f t="shared" si="9"/>
        <v>27557892.350000001</v>
      </c>
      <c r="BZ33" s="25">
        <f t="shared" si="9"/>
        <v>3260539.24</v>
      </c>
      <c r="CA33" s="25">
        <f t="shared" si="9"/>
        <v>12567368.74</v>
      </c>
      <c r="CB33" s="25">
        <f t="shared" si="9"/>
        <v>49260138.470000006</v>
      </c>
      <c r="CC33" s="25">
        <f t="shared" si="9"/>
        <v>33644005</v>
      </c>
      <c r="CD33" s="47"/>
      <c r="CE33" s="25">
        <f t="shared" si="9"/>
        <v>13190862</v>
      </c>
      <c r="CF33" s="25">
        <f t="shared" si="9"/>
        <v>11763148</v>
      </c>
      <c r="CG33" s="25">
        <f t="shared" si="9"/>
        <v>9851374</v>
      </c>
      <c r="CH33" s="25">
        <f t="shared" si="9"/>
        <v>14246681</v>
      </c>
      <c r="CI33" s="25">
        <f t="shared" si="9"/>
        <v>12176552</v>
      </c>
      <c r="CJ33" s="25">
        <f t="shared" si="9"/>
        <v>11951135</v>
      </c>
      <c r="CK33" s="25">
        <f t="shared" si="9"/>
        <v>10556986</v>
      </c>
      <c r="CL33" s="25">
        <f t="shared" si="9"/>
        <v>3981773.3099999996</v>
      </c>
      <c r="CM33" s="25">
        <f t="shared" si="9"/>
        <v>2393217.75</v>
      </c>
      <c r="CN33" s="25">
        <f t="shared" si="9"/>
        <v>118402.13</v>
      </c>
      <c r="CO33" s="25">
        <f t="shared" ref="CO33:DO33" si="10">SUM(CO28:CO32)</f>
        <v>127151.76999999999</v>
      </c>
      <c r="CP33" s="25">
        <f t="shared" si="10"/>
        <v>9885.68</v>
      </c>
      <c r="CQ33" s="25">
        <f t="shared" si="10"/>
        <v>48072.49</v>
      </c>
      <c r="CR33" s="25">
        <f t="shared" si="10"/>
        <v>2437664.3100000005</v>
      </c>
      <c r="CS33" s="25">
        <f t="shared" si="10"/>
        <v>1223291.6400000001</v>
      </c>
      <c r="CT33" s="25">
        <f t="shared" si="10"/>
        <v>2671250.2199999997</v>
      </c>
      <c r="CU33" s="25">
        <f t="shared" si="10"/>
        <v>1833433.32</v>
      </c>
      <c r="CV33" s="25">
        <f t="shared" si="10"/>
        <v>2479796.4</v>
      </c>
      <c r="CW33" s="25">
        <f t="shared" si="10"/>
        <v>2363505.48</v>
      </c>
      <c r="CX33" s="25">
        <f t="shared" si="10"/>
        <v>1442450.47</v>
      </c>
      <c r="CY33" s="25">
        <f t="shared" si="10"/>
        <v>205212.43</v>
      </c>
      <c r="CZ33" s="25">
        <f t="shared" si="10"/>
        <v>2469281.7199999997</v>
      </c>
      <c r="DA33" s="25">
        <f t="shared" si="10"/>
        <v>27829389</v>
      </c>
      <c r="DB33" s="47"/>
      <c r="DC33" s="25">
        <f t="shared" si="10"/>
        <v>10224430</v>
      </c>
      <c r="DD33" s="25">
        <f t="shared" si="10"/>
        <v>9461497</v>
      </c>
      <c r="DE33" s="25">
        <f t="shared" si="10"/>
        <v>10108911</v>
      </c>
      <c r="DF33" s="25">
        <f t="shared" si="10"/>
        <v>8837435</v>
      </c>
      <c r="DG33" s="25">
        <f t="shared" si="10"/>
        <v>1871468.8900000001</v>
      </c>
      <c r="DH33" s="25">
        <f t="shared" si="10"/>
        <v>1141070.4500000002</v>
      </c>
      <c r="DI33" s="25">
        <f t="shared" si="10"/>
        <v>32115.760000000002</v>
      </c>
      <c r="DJ33" s="25">
        <f t="shared" si="10"/>
        <v>18965.16</v>
      </c>
      <c r="DK33" s="25">
        <f t="shared" si="10"/>
        <v>11230.56</v>
      </c>
      <c r="DL33" s="25">
        <f t="shared" si="10"/>
        <v>4144.45</v>
      </c>
      <c r="DM33" s="25">
        <f t="shared" si="10"/>
        <v>1302116.94</v>
      </c>
      <c r="DN33" s="25">
        <f t="shared" si="10"/>
        <v>121889.19999999998</v>
      </c>
      <c r="DO33" s="25">
        <f t="shared" si="10"/>
        <v>380651.56</v>
      </c>
      <c r="DP33" s="18"/>
      <c r="DQ33" s="25">
        <v>20718</v>
      </c>
      <c r="DR33" s="25">
        <v>233584</v>
      </c>
      <c r="DS33" s="25">
        <v>7998477</v>
      </c>
      <c r="DT33" s="25">
        <v>24365</v>
      </c>
      <c r="DU33" s="25">
        <v>1303447.1599999999</v>
      </c>
      <c r="DV33" s="25">
        <v>6155908</v>
      </c>
      <c r="DW33" s="25">
        <v>3963011</v>
      </c>
      <c r="DX33" s="25">
        <v>4392567</v>
      </c>
      <c r="DY33" s="25">
        <v>66500</v>
      </c>
      <c r="DZ33" s="25">
        <v>3848398</v>
      </c>
      <c r="EA33" s="25">
        <v>3896058</v>
      </c>
      <c r="EB33" s="25">
        <v>147757</v>
      </c>
      <c r="EC33" s="25">
        <v>842404</v>
      </c>
      <c r="ED33" s="25">
        <v>794938</v>
      </c>
      <c r="EE33" s="25">
        <v>24157</v>
      </c>
      <c r="EF33" s="25">
        <v>260864</v>
      </c>
      <c r="EG33" s="25">
        <v>4282146</v>
      </c>
      <c r="EH33" s="25">
        <v>8028603</v>
      </c>
      <c r="EI33" s="25">
        <v>7317591</v>
      </c>
      <c r="EJ33" s="25">
        <v>52126674.200000003</v>
      </c>
      <c r="EK33" s="25">
        <f t="shared" ref="EK33:EV33" si="11">SUM(EK28:EK32)</f>
        <v>0</v>
      </c>
      <c r="EL33" s="25">
        <f t="shared" si="11"/>
        <v>0</v>
      </c>
      <c r="EM33" s="25">
        <f t="shared" si="11"/>
        <v>0</v>
      </c>
      <c r="EN33" s="25">
        <f t="shared" si="11"/>
        <v>0</v>
      </c>
      <c r="EO33" s="25">
        <f t="shared" si="11"/>
        <v>0</v>
      </c>
      <c r="EP33" s="25">
        <f t="shared" si="11"/>
        <v>0</v>
      </c>
      <c r="EQ33" s="25">
        <f t="shared" si="11"/>
        <v>0</v>
      </c>
      <c r="ER33" s="25">
        <f t="shared" si="11"/>
        <v>0</v>
      </c>
      <c r="ES33" s="25">
        <f t="shared" si="11"/>
        <v>0</v>
      </c>
      <c r="ET33" s="25">
        <f t="shared" si="11"/>
        <v>0</v>
      </c>
      <c r="EU33" s="25">
        <f t="shared" si="11"/>
        <v>0</v>
      </c>
      <c r="EV33" s="25">
        <f t="shared" si="11"/>
        <v>0</v>
      </c>
      <c r="EW33" s="2"/>
    </row>
    <row r="34" spans="1:153" ht="12" customHeight="1">
      <c r="A34" s="48" t="s">
        <v>337</v>
      </c>
      <c r="B34" s="48"/>
      <c r="C34" s="48"/>
      <c r="D34" s="48"/>
      <c r="E34" s="48"/>
      <c r="F34" s="48"/>
      <c r="G34" s="48"/>
      <c r="H34" s="4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47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47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</row>
    <row r="35" spans="1:153" ht="12" customHeight="1">
      <c r="A35" s="1" t="s">
        <v>327</v>
      </c>
      <c r="B35" s="19">
        <v>0</v>
      </c>
      <c r="C35" s="19">
        <v>0</v>
      </c>
      <c r="D35" s="1" t="s">
        <v>5</v>
      </c>
      <c r="E35" s="19"/>
      <c r="F35" s="19"/>
      <c r="G35" s="20"/>
      <c r="H35" s="20"/>
      <c r="I35" s="20"/>
      <c r="J35" s="20"/>
      <c r="K35" s="20"/>
      <c r="L35" s="20" t="s">
        <v>5</v>
      </c>
      <c r="M35" s="21" t="s">
        <v>5</v>
      </c>
      <c r="N35" s="19">
        <v>0</v>
      </c>
      <c r="O35" s="1" t="s">
        <v>5</v>
      </c>
      <c r="P35" s="19"/>
      <c r="Q35" s="19"/>
      <c r="R35" s="20"/>
      <c r="S35" s="20"/>
      <c r="T35" s="20"/>
      <c r="U35" s="20"/>
      <c r="V35" s="20"/>
      <c r="W35" s="20" t="s">
        <v>5</v>
      </c>
      <c r="X35" s="21" t="s">
        <v>5</v>
      </c>
      <c r="Y35" s="19"/>
      <c r="Z35" s="20" t="s">
        <v>5</v>
      </c>
      <c r="AA35" s="19"/>
      <c r="AB35" s="20" t="s">
        <v>5</v>
      </c>
      <c r="AC35" s="19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19"/>
      <c r="CD35" s="47"/>
      <c r="CE35" s="19"/>
      <c r="CF35" s="19"/>
      <c r="CG35" s="19"/>
      <c r="CH35" s="19"/>
      <c r="CI35" s="19"/>
      <c r="CJ35" s="19"/>
      <c r="CK35" s="19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19"/>
      <c r="DB35" s="47"/>
      <c r="DC35" s="19"/>
      <c r="DD35" s="19"/>
      <c r="DE35" s="19"/>
      <c r="DF35" s="19"/>
      <c r="DG35" s="22"/>
      <c r="DH35" s="22"/>
      <c r="DI35" s="22"/>
      <c r="DJ35" s="22"/>
      <c r="DK35" s="22"/>
      <c r="DL35" s="22"/>
      <c r="DM35" s="22"/>
      <c r="DN35" s="22"/>
      <c r="DO35" s="22"/>
      <c r="DP35" s="1"/>
      <c r="DQ35" s="19"/>
      <c r="DR35" s="19"/>
      <c r="DS35" s="19"/>
      <c r="DT35" s="19"/>
      <c r="DU35" s="22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22"/>
      <c r="EH35" s="19"/>
      <c r="EI35" s="19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"/>
    </row>
    <row r="36" spans="1:153" ht="12" customHeight="1">
      <c r="A36" s="1" t="s">
        <v>329</v>
      </c>
      <c r="B36" s="19">
        <v>3</v>
      </c>
      <c r="C36" s="19">
        <v>3</v>
      </c>
      <c r="D36" s="1" t="s">
        <v>5</v>
      </c>
      <c r="E36" s="19">
        <v>3</v>
      </c>
      <c r="F36" s="19">
        <v>29</v>
      </c>
      <c r="G36" s="20">
        <v>2</v>
      </c>
      <c r="H36" s="20">
        <v>0</v>
      </c>
      <c r="I36" s="20">
        <v>1</v>
      </c>
      <c r="J36" s="20"/>
      <c r="K36" s="20"/>
      <c r="L36" s="20" t="s">
        <v>5</v>
      </c>
      <c r="M36" s="21" t="s">
        <v>5</v>
      </c>
      <c r="N36" s="19">
        <v>3</v>
      </c>
      <c r="O36" s="1" t="s">
        <v>5</v>
      </c>
      <c r="P36" s="19">
        <v>3</v>
      </c>
      <c r="Q36" s="19">
        <v>3</v>
      </c>
      <c r="R36" s="20">
        <v>2</v>
      </c>
      <c r="S36" s="20">
        <v>0</v>
      </c>
      <c r="T36" s="20">
        <v>1</v>
      </c>
      <c r="U36" s="20"/>
      <c r="V36" s="20"/>
      <c r="W36" s="20" t="s">
        <v>5</v>
      </c>
      <c r="X36" s="21" t="s">
        <v>5</v>
      </c>
      <c r="Y36" s="19">
        <v>343233</v>
      </c>
      <c r="Z36" s="20" t="s">
        <v>5</v>
      </c>
      <c r="AA36" s="19">
        <v>343233</v>
      </c>
      <c r="AB36" s="20" t="s">
        <v>5</v>
      </c>
      <c r="AC36" s="19">
        <v>525</v>
      </c>
      <c r="AD36" s="22">
        <v>86999724.099999994</v>
      </c>
      <c r="AE36" s="22">
        <v>86540773.400000006</v>
      </c>
      <c r="AF36" s="22">
        <v>68210643.340000004</v>
      </c>
      <c r="AG36" s="22">
        <v>18330130.059999999</v>
      </c>
      <c r="AH36" s="22">
        <v>0</v>
      </c>
      <c r="AI36" s="22">
        <v>0</v>
      </c>
      <c r="AJ36" s="22">
        <v>458950.7</v>
      </c>
      <c r="AK36" s="22">
        <v>94423540.709999993</v>
      </c>
      <c r="AL36" s="22">
        <v>26805106.82</v>
      </c>
      <c r="AM36" s="22">
        <v>88428691.739999995</v>
      </c>
      <c r="AN36" s="22">
        <v>83161804.379999995</v>
      </c>
      <c r="AO36" s="22">
        <v>32673059.66</v>
      </c>
      <c r="AP36" s="22">
        <v>4618414.3499999996</v>
      </c>
      <c r="AQ36" s="22">
        <v>19357976.199999999</v>
      </c>
      <c r="AR36" s="22">
        <v>14267262.75</v>
      </c>
      <c r="AS36" s="22">
        <v>0</v>
      </c>
      <c r="AT36" s="22">
        <v>0</v>
      </c>
      <c r="AU36" s="22">
        <v>6829786.7699999996</v>
      </c>
      <c r="AV36" s="22">
        <v>5415304.6500000004</v>
      </c>
      <c r="AW36" s="22">
        <v>1108016.2</v>
      </c>
      <c r="AX36" s="22">
        <v>0</v>
      </c>
      <c r="AY36" s="22">
        <v>1108016.2</v>
      </c>
      <c r="AZ36" s="22">
        <v>3896768.83</v>
      </c>
      <c r="BA36" s="22">
        <v>262102.33</v>
      </c>
      <c r="BB36" s="22">
        <v>0</v>
      </c>
      <c r="BC36" s="22">
        <v>0</v>
      </c>
      <c r="BD36" s="22">
        <v>1108016.2</v>
      </c>
      <c r="BE36" s="22">
        <v>0</v>
      </c>
      <c r="BF36" s="22">
        <v>669927.43999999994</v>
      </c>
      <c r="BG36" s="22">
        <v>0</v>
      </c>
      <c r="BH36" s="22">
        <v>6709543.8300000001</v>
      </c>
      <c r="BI36" s="22">
        <v>7379471.2699999996</v>
      </c>
      <c r="BJ36" s="22">
        <v>0</v>
      </c>
      <c r="BK36" s="22">
        <v>0</v>
      </c>
      <c r="BL36" s="22">
        <v>7379471.2699999996</v>
      </c>
      <c r="BM36" s="22">
        <v>0</v>
      </c>
      <c r="BN36" s="22">
        <v>0</v>
      </c>
      <c r="BO36" s="22">
        <v>0</v>
      </c>
      <c r="BP36" s="22">
        <v>0</v>
      </c>
      <c r="BQ36" s="22">
        <v>0</v>
      </c>
      <c r="BR36" s="22">
        <v>0</v>
      </c>
      <c r="BS36" s="22">
        <v>0</v>
      </c>
      <c r="BT36" s="22">
        <v>0</v>
      </c>
      <c r="BU36" s="22">
        <v>0</v>
      </c>
      <c r="BV36" s="22">
        <v>0</v>
      </c>
      <c r="BW36" s="22">
        <v>0</v>
      </c>
      <c r="BX36" s="22">
        <v>0</v>
      </c>
      <c r="BY36" s="22">
        <v>0</v>
      </c>
      <c r="BZ36" s="22">
        <v>0</v>
      </c>
      <c r="CA36" s="22">
        <v>0</v>
      </c>
      <c r="CB36" s="22">
        <v>0</v>
      </c>
      <c r="CC36" s="19">
        <v>320094</v>
      </c>
      <c r="CD36" s="47"/>
      <c r="CE36" s="19">
        <v>127441</v>
      </c>
      <c r="CF36" s="19">
        <v>97882</v>
      </c>
      <c r="CG36" s="19">
        <v>73138</v>
      </c>
      <c r="CH36" s="19">
        <v>141585</v>
      </c>
      <c r="CI36" s="19">
        <v>84921</v>
      </c>
      <c r="CJ36" s="19">
        <v>114532</v>
      </c>
      <c r="CK36" s="19">
        <v>81457</v>
      </c>
      <c r="CL36" s="22">
        <v>33340.949999999997</v>
      </c>
      <c r="CM36" s="22">
        <v>18532.18</v>
      </c>
      <c r="CN36" s="22">
        <v>921.05</v>
      </c>
      <c r="CO36" s="22">
        <v>0</v>
      </c>
      <c r="CP36" s="22">
        <v>0</v>
      </c>
      <c r="CQ36" s="22">
        <v>0</v>
      </c>
      <c r="CR36" s="22">
        <v>19454.3</v>
      </c>
      <c r="CS36" s="22">
        <v>13037.79</v>
      </c>
      <c r="CT36" s="22">
        <v>18014.72</v>
      </c>
      <c r="CU36" s="22">
        <v>11878.61</v>
      </c>
      <c r="CV36" s="22">
        <v>25287.38</v>
      </c>
      <c r="CW36" s="22">
        <v>17456.759999999998</v>
      </c>
      <c r="CX36" s="22">
        <v>11083.98</v>
      </c>
      <c r="CY36" s="22">
        <v>896.34</v>
      </c>
      <c r="CZ36" s="22">
        <v>19991.73</v>
      </c>
      <c r="DA36" s="19">
        <v>197611</v>
      </c>
      <c r="DB36" s="47"/>
      <c r="DC36" s="19">
        <v>63312</v>
      </c>
      <c r="DD36" s="19">
        <v>47978</v>
      </c>
      <c r="DE36" s="19">
        <v>74870</v>
      </c>
      <c r="DF36" s="19">
        <v>72189</v>
      </c>
      <c r="DG36" s="22">
        <v>20059.310000000001</v>
      </c>
      <c r="DH36" s="22">
        <v>5445.74</v>
      </c>
      <c r="DI36" s="22">
        <v>2.38</v>
      </c>
      <c r="DJ36" s="22">
        <v>0</v>
      </c>
      <c r="DK36" s="22">
        <v>0</v>
      </c>
      <c r="DL36" s="22">
        <v>0</v>
      </c>
      <c r="DM36" s="22">
        <v>14806.96</v>
      </c>
      <c r="DN36" s="22">
        <v>454.8</v>
      </c>
      <c r="DO36" s="22">
        <v>611.39</v>
      </c>
      <c r="DP36" s="1"/>
      <c r="DQ36" s="19">
        <v>77</v>
      </c>
      <c r="DR36" s="19">
        <v>692</v>
      </c>
      <c r="DS36" s="19">
        <v>196579</v>
      </c>
      <c r="DT36" s="19">
        <v>8587</v>
      </c>
      <c r="DU36" s="22">
        <v>157477</v>
      </c>
      <c r="DV36" s="19">
        <v>1593520</v>
      </c>
      <c r="DW36" s="19">
        <v>37063</v>
      </c>
      <c r="DX36" s="19">
        <v>110041</v>
      </c>
      <c r="DY36" s="19">
        <v>142</v>
      </c>
      <c r="DZ36" s="19">
        <v>16976</v>
      </c>
      <c r="EA36" s="19">
        <v>13798</v>
      </c>
      <c r="EB36" s="19">
        <v>7</v>
      </c>
      <c r="EC36" s="19">
        <v>7536</v>
      </c>
      <c r="ED36" s="19">
        <v>3766</v>
      </c>
      <c r="EE36" s="19">
        <v>6</v>
      </c>
      <c r="EF36" s="19">
        <v>6425</v>
      </c>
      <c r="EG36" s="22">
        <v>10728</v>
      </c>
      <c r="EH36" s="19">
        <v>54186</v>
      </c>
      <c r="EI36" s="19">
        <v>49302</v>
      </c>
      <c r="EJ36" s="22">
        <v>27336.560000000001</v>
      </c>
      <c r="EK36" s="22">
        <v>35895.730000000003</v>
      </c>
      <c r="EL36" s="22">
        <v>80827.92</v>
      </c>
      <c r="EM36" s="22">
        <v>36557.93</v>
      </c>
      <c r="EN36" s="22">
        <v>616.86</v>
      </c>
      <c r="EO36" s="22">
        <v>110754.18</v>
      </c>
      <c r="EP36" s="22">
        <v>-57797.66</v>
      </c>
      <c r="EQ36" s="22">
        <v>86956.66</v>
      </c>
      <c r="ER36" s="22">
        <v>0</v>
      </c>
      <c r="ES36" s="22">
        <v>-8069.76</v>
      </c>
      <c r="ET36" s="22">
        <v>33403.97</v>
      </c>
      <c r="EU36" s="22">
        <v>877.51</v>
      </c>
      <c r="EV36" s="22">
        <v>-7451.25</v>
      </c>
      <c r="EW36" s="2"/>
    </row>
    <row r="37" spans="1:153" ht="12" customHeight="1">
      <c r="A37" s="1" t="s">
        <v>330</v>
      </c>
      <c r="B37" s="19">
        <v>7</v>
      </c>
      <c r="C37" s="19">
        <v>6</v>
      </c>
      <c r="D37" s="1" t="s">
        <v>5</v>
      </c>
      <c r="E37" s="19">
        <v>6</v>
      </c>
      <c r="F37" s="19">
        <v>12</v>
      </c>
      <c r="G37" s="20">
        <v>4</v>
      </c>
      <c r="H37" s="20">
        <v>0</v>
      </c>
      <c r="I37" s="20">
        <v>2</v>
      </c>
      <c r="J37" s="20"/>
      <c r="K37" s="20"/>
      <c r="L37" s="20" t="s">
        <v>5</v>
      </c>
      <c r="M37" s="21" t="s">
        <v>5</v>
      </c>
      <c r="N37" s="19">
        <v>7</v>
      </c>
      <c r="O37" s="1" t="s">
        <v>5</v>
      </c>
      <c r="P37" s="19">
        <v>7</v>
      </c>
      <c r="Q37" s="19">
        <v>10</v>
      </c>
      <c r="R37" s="20">
        <v>4</v>
      </c>
      <c r="S37" s="20">
        <v>0</v>
      </c>
      <c r="T37" s="20">
        <v>3</v>
      </c>
      <c r="U37" s="20"/>
      <c r="V37" s="20"/>
      <c r="W37" s="20" t="s">
        <v>5</v>
      </c>
      <c r="X37" s="21" t="s">
        <v>5</v>
      </c>
      <c r="Y37" s="19">
        <v>2348561</v>
      </c>
      <c r="Z37" s="20" t="s">
        <v>5</v>
      </c>
      <c r="AA37" s="19">
        <v>2545838</v>
      </c>
      <c r="AB37" s="20" t="s">
        <v>5</v>
      </c>
      <c r="AC37" s="19">
        <v>4229</v>
      </c>
      <c r="AD37" s="22">
        <v>2021773434.49</v>
      </c>
      <c r="AE37" s="22">
        <v>1844114034.6400001</v>
      </c>
      <c r="AF37" s="22">
        <v>884735572.07000005</v>
      </c>
      <c r="AG37" s="22">
        <v>958178959.20000005</v>
      </c>
      <c r="AH37" s="22">
        <v>1199503.3700000001</v>
      </c>
      <c r="AI37" s="22">
        <v>0</v>
      </c>
      <c r="AJ37" s="22">
        <v>177659399.84999999</v>
      </c>
      <c r="AK37" s="22">
        <v>1904910160.6500001</v>
      </c>
      <c r="AL37" s="22">
        <v>395169128.81</v>
      </c>
      <c r="AM37" s="22">
        <v>1926594232.1199999</v>
      </c>
      <c r="AN37" s="22">
        <v>1552933518.5699999</v>
      </c>
      <c r="AO37" s="22">
        <v>737986684.45000005</v>
      </c>
      <c r="AP37" s="22">
        <v>52009801.68</v>
      </c>
      <c r="AQ37" s="22">
        <v>135902041.50999999</v>
      </c>
      <c r="AR37" s="22">
        <v>220552960.62</v>
      </c>
      <c r="AS37" s="22">
        <v>47020.92</v>
      </c>
      <c r="AT37" s="22">
        <v>0</v>
      </c>
      <c r="AU37" s="22">
        <v>109869416.95</v>
      </c>
      <c r="AV37" s="22">
        <v>296565592.44</v>
      </c>
      <c r="AW37" s="22">
        <v>111695371.65000001</v>
      </c>
      <c r="AX37" s="22">
        <v>18000665.760000002</v>
      </c>
      <c r="AY37" s="22">
        <v>129696037.41</v>
      </c>
      <c r="AZ37" s="22">
        <v>162703187.49000001</v>
      </c>
      <c r="BA37" s="22">
        <v>34491690.509999998</v>
      </c>
      <c r="BB37" s="22">
        <v>46769798.140000001</v>
      </c>
      <c r="BC37" s="22">
        <v>101488520.63</v>
      </c>
      <c r="BD37" s="22">
        <v>231184558.03999999</v>
      </c>
      <c r="BE37" s="22">
        <v>0</v>
      </c>
      <c r="BF37" s="22">
        <v>140120655.44999999</v>
      </c>
      <c r="BG37" s="22">
        <v>64084242.850000001</v>
      </c>
      <c r="BH37" s="22">
        <v>17679797.449999999</v>
      </c>
      <c r="BI37" s="22">
        <v>146730783.24000001</v>
      </c>
      <c r="BJ37" s="22">
        <v>68440068.25</v>
      </c>
      <c r="BK37" s="22">
        <v>6713844.2599999998</v>
      </c>
      <c r="BL37" s="22">
        <v>221884695.75</v>
      </c>
      <c r="BM37" s="22">
        <v>0</v>
      </c>
      <c r="BN37" s="22">
        <v>0</v>
      </c>
      <c r="BO37" s="22">
        <v>1607803.75</v>
      </c>
      <c r="BP37" s="22">
        <v>0</v>
      </c>
      <c r="BQ37" s="22">
        <v>0</v>
      </c>
      <c r="BR37" s="22">
        <v>0</v>
      </c>
      <c r="BS37" s="22">
        <v>1607803.75</v>
      </c>
      <c r="BT37" s="22">
        <v>1607803.75</v>
      </c>
      <c r="BU37" s="22">
        <v>0</v>
      </c>
      <c r="BV37" s="22">
        <v>181496.72</v>
      </c>
      <c r="BW37" s="22">
        <v>0</v>
      </c>
      <c r="BX37" s="22">
        <v>0</v>
      </c>
      <c r="BY37" s="22">
        <v>181496.72</v>
      </c>
      <c r="BZ37" s="22">
        <v>0</v>
      </c>
      <c r="CA37" s="22">
        <v>0</v>
      </c>
      <c r="CB37" s="22">
        <v>181496.72</v>
      </c>
      <c r="CC37" s="19">
        <v>2317348</v>
      </c>
      <c r="CD37" s="47"/>
      <c r="CE37" s="19">
        <v>794280</v>
      </c>
      <c r="CF37" s="19">
        <v>740957</v>
      </c>
      <c r="CG37" s="19">
        <v>740951</v>
      </c>
      <c r="CH37" s="19">
        <v>1089458</v>
      </c>
      <c r="CI37" s="19">
        <v>1089452</v>
      </c>
      <c r="CJ37" s="19">
        <v>988107</v>
      </c>
      <c r="CK37" s="19">
        <v>988107</v>
      </c>
      <c r="CL37" s="22">
        <v>223987.04</v>
      </c>
      <c r="CM37" s="22">
        <v>208765.83</v>
      </c>
      <c r="CN37" s="22">
        <v>3258.06</v>
      </c>
      <c r="CO37" s="22">
        <v>11.86</v>
      </c>
      <c r="CP37" s="22">
        <v>0</v>
      </c>
      <c r="CQ37" s="22">
        <v>238.33</v>
      </c>
      <c r="CR37" s="22">
        <v>212464.62</v>
      </c>
      <c r="CS37" s="22">
        <v>11460.2</v>
      </c>
      <c r="CT37" s="22">
        <v>218976.67</v>
      </c>
      <c r="CU37" s="22">
        <v>155968.31</v>
      </c>
      <c r="CV37" s="22">
        <v>156978.68</v>
      </c>
      <c r="CW37" s="22">
        <v>173885.74</v>
      </c>
      <c r="CX37" s="22">
        <v>131567.1</v>
      </c>
      <c r="CY37" s="22">
        <v>9962.59</v>
      </c>
      <c r="CZ37" s="22">
        <v>156998.41</v>
      </c>
      <c r="DA37" s="19">
        <v>2252931</v>
      </c>
      <c r="DB37" s="47"/>
      <c r="DC37" s="19">
        <v>752203</v>
      </c>
      <c r="DD37" s="19">
        <v>698406</v>
      </c>
      <c r="DE37" s="19">
        <v>1026167</v>
      </c>
      <c r="DF37" s="19">
        <v>929922</v>
      </c>
      <c r="DG37" s="22">
        <v>139912.67000000001</v>
      </c>
      <c r="DH37" s="22">
        <v>107018.47</v>
      </c>
      <c r="DI37" s="22">
        <v>0</v>
      </c>
      <c r="DJ37" s="22">
        <v>0</v>
      </c>
      <c r="DK37" s="22">
        <v>0</v>
      </c>
      <c r="DL37" s="22">
        <v>0</v>
      </c>
      <c r="DM37" s="22">
        <v>161765.94</v>
      </c>
      <c r="DN37" s="22">
        <v>7919.35</v>
      </c>
      <c r="DO37" s="22">
        <v>38549.85</v>
      </c>
      <c r="DP37" s="1"/>
      <c r="DQ37" s="19">
        <v>459</v>
      </c>
      <c r="DR37" s="19">
        <v>5772</v>
      </c>
      <c r="DS37" s="19">
        <v>81430</v>
      </c>
      <c r="DT37" s="19">
        <v>77</v>
      </c>
      <c r="DU37" s="22">
        <v>580</v>
      </c>
      <c r="DV37" s="19">
        <v>23843</v>
      </c>
      <c r="DW37" s="19">
        <v>40056</v>
      </c>
      <c r="DX37" s="19">
        <v>70183</v>
      </c>
      <c r="DY37" s="19">
        <v>375</v>
      </c>
      <c r="DZ37" s="19">
        <v>39136</v>
      </c>
      <c r="EA37" s="19">
        <v>67813</v>
      </c>
      <c r="EB37" s="19">
        <v>108</v>
      </c>
      <c r="EC37" s="19">
        <v>14832</v>
      </c>
      <c r="ED37" s="19">
        <v>18256</v>
      </c>
      <c r="EE37" s="19">
        <v>235</v>
      </c>
      <c r="EF37" s="19">
        <v>29670</v>
      </c>
      <c r="EG37" s="22">
        <v>1176397.95</v>
      </c>
      <c r="EH37" s="19">
        <v>605420</v>
      </c>
      <c r="EI37" s="19">
        <v>572128</v>
      </c>
      <c r="EJ37" s="22">
        <v>7563591.04</v>
      </c>
      <c r="EK37" s="22">
        <v>790665.99</v>
      </c>
      <c r="EL37" s="22">
        <v>3134550.92</v>
      </c>
      <c r="EM37" s="22">
        <v>1095101.06</v>
      </c>
      <c r="EN37" s="22">
        <v>233637.14</v>
      </c>
      <c r="EO37" s="22">
        <v>544772.75</v>
      </c>
      <c r="EP37" s="22">
        <v>1528154.04</v>
      </c>
      <c r="EQ37" s="22">
        <v>1864770.86</v>
      </c>
      <c r="ER37" s="22">
        <v>181.99</v>
      </c>
      <c r="ES37" s="22">
        <v>453993.99</v>
      </c>
      <c r="ET37" s="22">
        <v>151602.49</v>
      </c>
      <c r="EU37" s="22">
        <v>331950.11</v>
      </c>
      <c r="EV37" s="22">
        <v>552304.97</v>
      </c>
      <c r="EW37" s="2"/>
    </row>
    <row r="38" spans="1:153" ht="12" customHeight="1">
      <c r="A38" s="1" t="s">
        <v>331</v>
      </c>
      <c r="B38" s="19">
        <v>8</v>
      </c>
      <c r="C38" s="19">
        <v>8</v>
      </c>
      <c r="D38" s="1" t="s">
        <v>5</v>
      </c>
      <c r="E38" s="19">
        <v>8</v>
      </c>
      <c r="F38" s="19">
        <v>20</v>
      </c>
      <c r="G38" s="20">
        <v>5</v>
      </c>
      <c r="H38" s="20">
        <v>0</v>
      </c>
      <c r="I38" s="20">
        <v>3</v>
      </c>
      <c r="J38" s="20"/>
      <c r="K38" s="20"/>
      <c r="L38" s="20" t="s">
        <v>5</v>
      </c>
      <c r="M38" s="21" t="s">
        <v>5</v>
      </c>
      <c r="N38" s="19">
        <v>1</v>
      </c>
      <c r="O38" s="1" t="s">
        <v>5</v>
      </c>
      <c r="P38" s="19">
        <v>1</v>
      </c>
      <c r="Q38" s="19">
        <v>0</v>
      </c>
      <c r="R38" s="20">
        <v>1</v>
      </c>
      <c r="S38" s="20">
        <v>0</v>
      </c>
      <c r="T38" s="20">
        <v>0</v>
      </c>
      <c r="U38" s="20"/>
      <c r="V38" s="20"/>
      <c r="W38" s="20" t="s">
        <v>5</v>
      </c>
      <c r="X38" s="21" t="s">
        <v>5</v>
      </c>
      <c r="Y38" s="19">
        <v>672316</v>
      </c>
      <c r="Z38" s="20" t="s">
        <v>5</v>
      </c>
      <c r="AA38" s="19">
        <v>616317</v>
      </c>
      <c r="AB38" s="20" t="s">
        <v>5</v>
      </c>
      <c r="AC38" s="19">
        <v>525</v>
      </c>
      <c r="AD38" s="22">
        <v>317599260.49000001</v>
      </c>
      <c r="AE38" s="22">
        <v>309789917.48000002</v>
      </c>
      <c r="AF38" s="22">
        <v>242053587.78999999</v>
      </c>
      <c r="AG38" s="22">
        <v>64030541.399999999</v>
      </c>
      <c r="AH38" s="22">
        <v>3334283.61</v>
      </c>
      <c r="AI38" s="22">
        <v>371504.68</v>
      </c>
      <c r="AJ38" s="22">
        <v>7809343.0099999998</v>
      </c>
      <c r="AK38" s="22">
        <v>314064225.63999999</v>
      </c>
      <c r="AL38" s="22">
        <v>59070239.850000001</v>
      </c>
      <c r="AM38" s="22">
        <v>246335149.56</v>
      </c>
      <c r="AN38" s="22">
        <v>198531554.19</v>
      </c>
      <c r="AO38" s="22">
        <v>69069611.129999995</v>
      </c>
      <c r="AP38" s="22">
        <v>6605360.9400000004</v>
      </c>
      <c r="AQ38" s="22">
        <v>26225037.579999998</v>
      </c>
      <c r="AR38" s="22">
        <v>46722545.439999998</v>
      </c>
      <c r="AS38" s="22">
        <v>0</v>
      </c>
      <c r="AT38" s="22">
        <v>0</v>
      </c>
      <c r="AU38" s="22">
        <v>37364478.049999997</v>
      </c>
      <c r="AV38" s="22">
        <v>12544521.050000001</v>
      </c>
      <c r="AW38" s="22">
        <v>6981597.04</v>
      </c>
      <c r="AX38" s="22">
        <v>1239095.3999999999</v>
      </c>
      <c r="AY38" s="22">
        <v>8220692.4400000004</v>
      </c>
      <c r="AZ38" s="22">
        <v>28683649.170000002</v>
      </c>
      <c r="BA38" s="22">
        <v>4343357.0599999996</v>
      </c>
      <c r="BB38" s="22">
        <v>6555896.7000000002</v>
      </c>
      <c r="BC38" s="22">
        <v>4593004.8600000003</v>
      </c>
      <c r="BD38" s="22">
        <v>12813697.300000001</v>
      </c>
      <c r="BE38" s="22">
        <v>0</v>
      </c>
      <c r="BF38" s="22">
        <v>86562699.879999995</v>
      </c>
      <c r="BG38" s="22">
        <v>70347055.980000004</v>
      </c>
      <c r="BH38" s="22">
        <v>4878417.6399999997</v>
      </c>
      <c r="BI38" s="22">
        <v>112103457.06999999</v>
      </c>
      <c r="BJ38" s="22">
        <v>49669716.43</v>
      </c>
      <c r="BK38" s="22">
        <v>15000</v>
      </c>
      <c r="BL38" s="22">
        <v>161788173.5</v>
      </c>
      <c r="BM38" s="22">
        <v>0</v>
      </c>
      <c r="BN38" s="22">
        <v>0</v>
      </c>
      <c r="BO38" s="22">
        <v>17268317.600000001</v>
      </c>
      <c r="BP38" s="22">
        <v>8000</v>
      </c>
      <c r="BQ38" s="22">
        <v>23000</v>
      </c>
      <c r="BR38" s="22">
        <v>0</v>
      </c>
      <c r="BS38" s="22">
        <v>17268317.600000001</v>
      </c>
      <c r="BT38" s="22">
        <v>17276317.600000001</v>
      </c>
      <c r="BU38" s="22">
        <v>0</v>
      </c>
      <c r="BV38" s="22">
        <v>0</v>
      </c>
      <c r="BW38" s="22">
        <v>0</v>
      </c>
      <c r="BX38" s="22">
        <v>0</v>
      </c>
      <c r="BY38" s="22">
        <v>0</v>
      </c>
      <c r="BZ38" s="22">
        <v>0</v>
      </c>
      <c r="CA38" s="22">
        <v>0</v>
      </c>
      <c r="CB38" s="22">
        <v>0</v>
      </c>
      <c r="CC38" s="19">
        <v>639086</v>
      </c>
      <c r="CD38" s="47"/>
      <c r="CE38" s="19">
        <v>195448</v>
      </c>
      <c r="CF38" s="19">
        <v>172998</v>
      </c>
      <c r="CG38" s="19">
        <v>171425</v>
      </c>
      <c r="CH38" s="19">
        <v>255463</v>
      </c>
      <c r="CI38" s="19">
        <v>254311</v>
      </c>
      <c r="CJ38" s="19">
        <v>235207</v>
      </c>
      <c r="CK38" s="19">
        <v>234258</v>
      </c>
      <c r="CL38" s="22">
        <v>70179.839999999997</v>
      </c>
      <c r="CM38" s="22">
        <v>69624.09</v>
      </c>
      <c r="CN38" s="22">
        <v>639.96</v>
      </c>
      <c r="CO38" s="22">
        <v>0</v>
      </c>
      <c r="CP38" s="22">
        <v>0</v>
      </c>
      <c r="CQ38" s="22">
        <v>975.16</v>
      </c>
      <c r="CR38" s="22">
        <v>68750.990000000005</v>
      </c>
      <c r="CS38" s="22">
        <v>1376.85</v>
      </c>
      <c r="CT38" s="22">
        <v>69605.33</v>
      </c>
      <c r="CU38" s="22">
        <v>39524.449999999997</v>
      </c>
      <c r="CV38" s="22">
        <v>41543.46</v>
      </c>
      <c r="CW38" s="22">
        <v>40849.279999999999</v>
      </c>
      <c r="CX38" s="22">
        <v>32419.21</v>
      </c>
      <c r="CY38" s="22">
        <v>2770.07</v>
      </c>
      <c r="CZ38" s="22">
        <v>36310.699999999997</v>
      </c>
      <c r="DA38" s="19">
        <v>256768</v>
      </c>
      <c r="DB38" s="47"/>
      <c r="DC38" s="19">
        <v>50773</v>
      </c>
      <c r="DD38" s="19">
        <v>47634</v>
      </c>
      <c r="DE38" s="19">
        <v>106389</v>
      </c>
      <c r="DF38" s="19">
        <v>94847</v>
      </c>
      <c r="DG38" s="22">
        <v>13666.53</v>
      </c>
      <c r="DH38" s="22">
        <v>13666.53</v>
      </c>
      <c r="DI38" s="22">
        <v>0</v>
      </c>
      <c r="DJ38" s="22">
        <v>0</v>
      </c>
      <c r="DK38" s="22">
        <v>17.64</v>
      </c>
      <c r="DL38" s="22">
        <v>17.64</v>
      </c>
      <c r="DM38" s="22">
        <v>12763.55</v>
      </c>
      <c r="DN38" s="22">
        <v>711.56</v>
      </c>
      <c r="DO38" s="22">
        <v>9624.26</v>
      </c>
      <c r="DP38" s="1"/>
      <c r="DQ38" s="19">
        <v>46</v>
      </c>
      <c r="DR38" s="19">
        <v>382</v>
      </c>
      <c r="DS38" s="19">
        <v>269303</v>
      </c>
      <c r="DT38" s="19">
        <v>6</v>
      </c>
      <c r="DU38" s="22">
        <v>42</v>
      </c>
      <c r="DV38" s="19">
        <v>642</v>
      </c>
      <c r="DW38" s="19">
        <v>22055</v>
      </c>
      <c r="DX38" s="19">
        <v>44789</v>
      </c>
      <c r="DY38" s="19">
        <v>53</v>
      </c>
      <c r="DZ38" s="19">
        <v>12561</v>
      </c>
      <c r="EA38" s="19">
        <v>38750</v>
      </c>
      <c r="EB38" s="19">
        <v>1465</v>
      </c>
      <c r="EC38" s="19">
        <v>3889</v>
      </c>
      <c r="ED38" s="19">
        <v>4159</v>
      </c>
      <c r="EE38" s="19">
        <v>77</v>
      </c>
      <c r="EF38" s="19">
        <v>453</v>
      </c>
      <c r="EG38" s="22">
        <v>13142.23</v>
      </c>
      <c r="EH38" s="19">
        <v>885857</v>
      </c>
      <c r="EI38" s="19">
        <v>850677</v>
      </c>
      <c r="EJ38" s="22">
        <v>109216819</v>
      </c>
      <c r="EK38" s="22">
        <v>319827.03000000003</v>
      </c>
      <c r="EL38" s="22">
        <v>1420548.66</v>
      </c>
      <c r="EM38" s="22">
        <v>292819.88</v>
      </c>
      <c r="EN38" s="22">
        <v>90760.83</v>
      </c>
      <c r="EO38" s="22">
        <v>94247.03</v>
      </c>
      <c r="EP38" s="22">
        <v>1030904.43</v>
      </c>
      <c r="EQ38" s="22">
        <v>797923.18</v>
      </c>
      <c r="ER38" s="22">
        <v>2</v>
      </c>
      <c r="ES38" s="22">
        <v>91045.22</v>
      </c>
      <c r="ET38" s="22">
        <v>157122.81</v>
      </c>
      <c r="EU38" s="22">
        <v>225395.07</v>
      </c>
      <c r="EV38" s="22">
        <v>120450.89</v>
      </c>
      <c r="EW38" s="2"/>
    </row>
    <row r="39" spans="1:153" ht="12" customHeight="1">
      <c r="A39" s="1" t="s">
        <v>332</v>
      </c>
      <c r="B39" s="19">
        <v>0</v>
      </c>
      <c r="C39" s="19">
        <v>0</v>
      </c>
      <c r="D39" s="1" t="s">
        <v>5</v>
      </c>
      <c r="E39" s="19"/>
      <c r="F39" s="19"/>
      <c r="G39" s="20"/>
      <c r="H39" s="20"/>
      <c r="I39" s="20"/>
      <c r="J39" s="20"/>
      <c r="K39" s="20"/>
      <c r="L39" s="20" t="s">
        <v>5</v>
      </c>
      <c r="M39" s="21" t="s">
        <v>5</v>
      </c>
      <c r="N39" s="19">
        <v>0</v>
      </c>
      <c r="O39" s="1" t="s">
        <v>5</v>
      </c>
      <c r="P39" s="19"/>
      <c r="Q39" s="19"/>
      <c r="R39" s="20"/>
      <c r="S39" s="20"/>
      <c r="T39" s="20"/>
      <c r="U39" s="20"/>
      <c r="V39" s="20"/>
      <c r="W39" s="20" t="s">
        <v>5</v>
      </c>
      <c r="X39" s="21" t="s">
        <v>5</v>
      </c>
      <c r="Y39" s="19"/>
      <c r="Z39" s="20" t="s">
        <v>5</v>
      </c>
      <c r="AA39" s="19"/>
      <c r="AB39" s="20" t="s">
        <v>5</v>
      </c>
      <c r="AC39" s="19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19"/>
      <c r="CD39" s="47"/>
      <c r="CE39" s="19"/>
      <c r="CF39" s="19"/>
      <c r="CG39" s="19"/>
      <c r="CH39" s="19"/>
      <c r="CI39" s="19"/>
      <c r="CJ39" s="19"/>
      <c r="CK39" s="19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19"/>
      <c r="DB39" s="47"/>
      <c r="DC39" s="19"/>
      <c r="DD39" s="19"/>
      <c r="DE39" s="19"/>
      <c r="DF39" s="19"/>
      <c r="DG39" s="22"/>
      <c r="DH39" s="22"/>
      <c r="DI39" s="22"/>
      <c r="DJ39" s="22"/>
      <c r="DK39" s="22"/>
      <c r="DL39" s="22"/>
      <c r="DM39" s="22"/>
      <c r="DN39" s="22"/>
      <c r="DO39" s="22"/>
      <c r="DP39" s="1"/>
      <c r="DQ39" s="19"/>
      <c r="DR39" s="19"/>
      <c r="DS39" s="19"/>
      <c r="DT39" s="19"/>
      <c r="DU39" s="22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22"/>
      <c r="EH39" s="19"/>
      <c r="EI39" s="19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"/>
    </row>
    <row r="40" spans="1:153" ht="12" customHeight="1">
      <c r="A40" s="23" t="s">
        <v>333</v>
      </c>
      <c r="B40" s="24">
        <v>18</v>
      </c>
      <c r="C40" s="24">
        <v>17</v>
      </c>
      <c r="D40" s="18" t="s">
        <v>5</v>
      </c>
      <c r="E40" s="24">
        <v>17</v>
      </c>
      <c r="F40" s="25">
        <f>SUM(F35:F39)</f>
        <v>61</v>
      </c>
      <c r="G40" s="24">
        <v>11</v>
      </c>
      <c r="H40" s="24">
        <v>0</v>
      </c>
      <c r="I40" s="24">
        <v>6</v>
      </c>
      <c r="J40" s="24"/>
      <c r="K40" s="24"/>
      <c r="L40" s="24" t="s">
        <v>5</v>
      </c>
      <c r="M40" s="26" t="s">
        <v>5</v>
      </c>
      <c r="N40" s="24">
        <v>11</v>
      </c>
      <c r="O40" s="18" t="s">
        <v>5</v>
      </c>
      <c r="P40" s="24">
        <v>11</v>
      </c>
      <c r="Q40" s="25">
        <f>SUM(Q35:Q39)</f>
        <v>13</v>
      </c>
      <c r="R40" s="24">
        <v>7</v>
      </c>
      <c r="S40" s="24">
        <v>0</v>
      </c>
      <c r="T40" s="24">
        <v>4</v>
      </c>
      <c r="U40" s="24"/>
      <c r="V40" s="24"/>
      <c r="W40" s="24" t="s">
        <v>5</v>
      </c>
      <c r="X40" s="26" t="s">
        <v>5</v>
      </c>
      <c r="Y40" s="24">
        <v>3364110</v>
      </c>
      <c r="Z40" s="24" t="s">
        <v>334</v>
      </c>
      <c r="AA40" s="24">
        <v>3505388</v>
      </c>
      <c r="AB40" s="24" t="s">
        <v>334</v>
      </c>
      <c r="AC40" s="25">
        <f t="shared" ref="AC40:BH40" si="12">SUM(AC35:AC39)</f>
        <v>5279</v>
      </c>
      <c r="AD40" s="25">
        <f t="shared" si="12"/>
        <v>2426372419.0799999</v>
      </c>
      <c r="AE40" s="25">
        <f t="shared" si="12"/>
        <v>2240444725.5200005</v>
      </c>
      <c r="AF40" s="25">
        <f t="shared" si="12"/>
        <v>1194999803.2</v>
      </c>
      <c r="AG40" s="25">
        <f t="shared" si="12"/>
        <v>1040539630.66</v>
      </c>
      <c r="AH40" s="25">
        <f t="shared" si="12"/>
        <v>4533786.9800000004</v>
      </c>
      <c r="AI40" s="25">
        <f t="shared" si="12"/>
        <v>371504.68</v>
      </c>
      <c r="AJ40" s="25">
        <f t="shared" si="12"/>
        <v>185927693.55999997</v>
      </c>
      <c r="AK40" s="25">
        <f t="shared" si="12"/>
        <v>2313397927</v>
      </c>
      <c r="AL40" s="25">
        <f t="shared" si="12"/>
        <v>481044475.48000002</v>
      </c>
      <c r="AM40" s="25">
        <f t="shared" si="12"/>
        <v>2261358073.4200001</v>
      </c>
      <c r="AN40" s="25">
        <f t="shared" si="12"/>
        <v>1834626877.1399999</v>
      </c>
      <c r="AO40" s="25">
        <f t="shared" si="12"/>
        <v>839729355.24000001</v>
      </c>
      <c r="AP40" s="25">
        <f t="shared" si="12"/>
        <v>63233576.969999999</v>
      </c>
      <c r="AQ40" s="25">
        <f t="shared" si="12"/>
        <v>181485055.28999996</v>
      </c>
      <c r="AR40" s="25">
        <f t="shared" si="12"/>
        <v>281542768.81</v>
      </c>
      <c r="AS40" s="25">
        <f t="shared" si="12"/>
        <v>47020.92</v>
      </c>
      <c r="AT40" s="25">
        <f t="shared" si="12"/>
        <v>0</v>
      </c>
      <c r="AU40" s="25">
        <f t="shared" si="12"/>
        <v>154063681.76999998</v>
      </c>
      <c r="AV40" s="25">
        <f t="shared" si="12"/>
        <v>314525418.13999999</v>
      </c>
      <c r="AW40" s="25">
        <f t="shared" si="12"/>
        <v>119784984.89000002</v>
      </c>
      <c r="AX40" s="25">
        <f t="shared" si="12"/>
        <v>19239761.16</v>
      </c>
      <c r="AY40" s="25">
        <f t="shared" si="12"/>
        <v>139024746.05000001</v>
      </c>
      <c r="AZ40" s="25">
        <f t="shared" si="12"/>
        <v>195283605.49000001</v>
      </c>
      <c r="BA40" s="25">
        <f t="shared" si="12"/>
        <v>39097149.899999999</v>
      </c>
      <c r="BB40" s="25">
        <f t="shared" si="12"/>
        <v>53325694.840000004</v>
      </c>
      <c r="BC40" s="25">
        <f t="shared" si="12"/>
        <v>106081525.48999999</v>
      </c>
      <c r="BD40" s="25">
        <f t="shared" si="12"/>
        <v>245106271.53999999</v>
      </c>
      <c r="BE40" s="25">
        <f t="shared" si="12"/>
        <v>0</v>
      </c>
      <c r="BF40" s="25">
        <f t="shared" si="12"/>
        <v>227353282.76999998</v>
      </c>
      <c r="BG40" s="25">
        <f t="shared" si="12"/>
        <v>134431298.83000001</v>
      </c>
      <c r="BH40" s="25">
        <f t="shared" si="12"/>
        <v>29267758.920000002</v>
      </c>
      <c r="BI40" s="25">
        <f t="shared" ref="BI40:CN40" si="13">SUM(BI35:BI39)</f>
        <v>266213711.58000001</v>
      </c>
      <c r="BJ40" s="25">
        <f t="shared" si="13"/>
        <v>118109784.68000001</v>
      </c>
      <c r="BK40" s="25">
        <f t="shared" si="13"/>
        <v>6728844.2599999998</v>
      </c>
      <c r="BL40" s="25">
        <f t="shared" si="13"/>
        <v>391052340.51999998</v>
      </c>
      <c r="BM40" s="25">
        <f t="shared" si="13"/>
        <v>0</v>
      </c>
      <c r="BN40" s="25">
        <f t="shared" si="13"/>
        <v>0</v>
      </c>
      <c r="BO40" s="25">
        <f t="shared" si="13"/>
        <v>18876121.350000001</v>
      </c>
      <c r="BP40" s="25">
        <f t="shared" si="13"/>
        <v>8000</v>
      </c>
      <c r="BQ40" s="25">
        <f t="shared" si="13"/>
        <v>23000</v>
      </c>
      <c r="BR40" s="25">
        <f t="shared" si="13"/>
        <v>0</v>
      </c>
      <c r="BS40" s="25">
        <f t="shared" si="13"/>
        <v>18876121.350000001</v>
      </c>
      <c r="BT40" s="25">
        <f t="shared" si="13"/>
        <v>18884121.350000001</v>
      </c>
      <c r="BU40" s="25">
        <f t="shared" si="13"/>
        <v>0</v>
      </c>
      <c r="BV40" s="25">
        <f t="shared" si="13"/>
        <v>181496.72</v>
      </c>
      <c r="BW40" s="25">
        <f t="shared" si="13"/>
        <v>0</v>
      </c>
      <c r="BX40" s="25">
        <f t="shared" si="13"/>
        <v>0</v>
      </c>
      <c r="BY40" s="25">
        <f t="shared" si="13"/>
        <v>181496.72</v>
      </c>
      <c r="BZ40" s="25">
        <f t="shared" si="13"/>
        <v>0</v>
      </c>
      <c r="CA40" s="25">
        <f t="shared" si="13"/>
        <v>0</v>
      </c>
      <c r="CB40" s="25">
        <f t="shared" si="13"/>
        <v>181496.72</v>
      </c>
      <c r="CC40" s="25">
        <f t="shared" si="13"/>
        <v>3276528</v>
      </c>
      <c r="CD40" s="47"/>
      <c r="CE40" s="25">
        <f t="shared" si="13"/>
        <v>1117169</v>
      </c>
      <c r="CF40" s="25">
        <f t="shared" si="13"/>
        <v>1011837</v>
      </c>
      <c r="CG40" s="25">
        <f t="shared" si="13"/>
        <v>985514</v>
      </c>
      <c r="CH40" s="25">
        <f t="shared" si="13"/>
        <v>1486506</v>
      </c>
      <c r="CI40" s="25">
        <f t="shared" si="13"/>
        <v>1428684</v>
      </c>
      <c r="CJ40" s="25">
        <f t="shared" si="13"/>
        <v>1337846</v>
      </c>
      <c r="CK40" s="25">
        <f t="shared" si="13"/>
        <v>1303822</v>
      </c>
      <c r="CL40" s="25">
        <f t="shared" si="13"/>
        <v>327507.82999999996</v>
      </c>
      <c r="CM40" s="25">
        <f t="shared" si="13"/>
        <v>296922.09999999998</v>
      </c>
      <c r="CN40" s="25">
        <f t="shared" si="13"/>
        <v>4819.07</v>
      </c>
      <c r="CO40" s="25">
        <f t="shared" ref="CO40:DO40" si="14">SUM(CO35:CO39)</f>
        <v>11.86</v>
      </c>
      <c r="CP40" s="25">
        <f t="shared" si="14"/>
        <v>0</v>
      </c>
      <c r="CQ40" s="25">
        <f t="shared" si="14"/>
        <v>1213.49</v>
      </c>
      <c r="CR40" s="25">
        <f t="shared" si="14"/>
        <v>300669.90999999997</v>
      </c>
      <c r="CS40" s="25">
        <f t="shared" si="14"/>
        <v>25874.84</v>
      </c>
      <c r="CT40" s="25">
        <f t="shared" si="14"/>
        <v>306596.72000000003</v>
      </c>
      <c r="CU40" s="25">
        <f t="shared" si="14"/>
        <v>207371.37</v>
      </c>
      <c r="CV40" s="25">
        <f t="shared" si="14"/>
        <v>223809.52</v>
      </c>
      <c r="CW40" s="25">
        <f t="shared" si="14"/>
        <v>232191.78</v>
      </c>
      <c r="CX40" s="25">
        <f t="shared" si="14"/>
        <v>175070.29</v>
      </c>
      <c r="CY40" s="25">
        <f t="shared" si="14"/>
        <v>13629</v>
      </c>
      <c r="CZ40" s="25">
        <f t="shared" si="14"/>
        <v>213300.84000000003</v>
      </c>
      <c r="DA40" s="25">
        <f t="shared" si="14"/>
        <v>2707310</v>
      </c>
      <c r="DB40" s="47"/>
      <c r="DC40" s="25">
        <f t="shared" si="14"/>
        <v>866288</v>
      </c>
      <c r="DD40" s="25">
        <f t="shared" si="14"/>
        <v>794018</v>
      </c>
      <c r="DE40" s="25">
        <f t="shared" si="14"/>
        <v>1207426</v>
      </c>
      <c r="DF40" s="25">
        <f t="shared" si="14"/>
        <v>1096958</v>
      </c>
      <c r="DG40" s="25">
        <f t="shared" si="14"/>
        <v>173638.51</v>
      </c>
      <c r="DH40" s="25">
        <f t="shared" si="14"/>
        <v>126130.74</v>
      </c>
      <c r="DI40" s="25">
        <f t="shared" si="14"/>
        <v>2.38</v>
      </c>
      <c r="DJ40" s="25">
        <f t="shared" si="14"/>
        <v>0</v>
      </c>
      <c r="DK40" s="25">
        <f t="shared" si="14"/>
        <v>17.64</v>
      </c>
      <c r="DL40" s="25">
        <f t="shared" si="14"/>
        <v>17.64</v>
      </c>
      <c r="DM40" s="25">
        <f t="shared" si="14"/>
        <v>189336.44999999998</v>
      </c>
      <c r="DN40" s="25">
        <f t="shared" si="14"/>
        <v>9085.7099999999991</v>
      </c>
      <c r="DO40" s="25">
        <f t="shared" si="14"/>
        <v>48785.5</v>
      </c>
      <c r="DP40" s="18"/>
      <c r="DQ40" s="25">
        <v>582</v>
      </c>
      <c r="DR40" s="25">
        <v>6846</v>
      </c>
      <c r="DS40" s="25">
        <v>547312</v>
      </c>
      <c r="DT40" s="25">
        <v>8670</v>
      </c>
      <c r="DU40" s="25">
        <v>158099</v>
      </c>
      <c r="DV40" s="25">
        <v>1618005</v>
      </c>
      <c r="DW40" s="25">
        <v>99174</v>
      </c>
      <c r="DX40" s="25">
        <v>225013</v>
      </c>
      <c r="DY40" s="25">
        <v>570</v>
      </c>
      <c r="DZ40" s="25">
        <v>68673</v>
      </c>
      <c r="EA40" s="25">
        <v>120361</v>
      </c>
      <c r="EB40" s="25">
        <v>1580</v>
      </c>
      <c r="EC40" s="25">
        <v>26257</v>
      </c>
      <c r="ED40" s="25">
        <v>26181</v>
      </c>
      <c r="EE40" s="25">
        <v>318</v>
      </c>
      <c r="EF40" s="25">
        <v>36548</v>
      </c>
      <c r="EG40" s="25">
        <v>1200268.18</v>
      </c>
      <c r="EH40" s="25">
        <v>1545463</v>
      </c>
      <c r="EI40" s="25">
        <v>1472107</v>
      </c>
      <c r="EJ40" s="25">
        <v>116807746.59999999</v>
      </c>
      <c r="EK40" s="25">
        <f t="shared" ref="EK40:EV40" si="15">SUM(EK35:EK39)</f>
        <v>1146388.75</v>
      </c>
      <c r="EL40" s="25">
        <f t="shared" si="15"/>
        <v>4635927.5</v>
      </c>
      <c r="EM40" s="25">
        <f t="shared" si="15"/>
        <v>1424478.87</v>
      </c>
      <c r="EN40" s="25">
        <f t="shared" si="15"/>
        <v>325014.83</v>
      </c>
      <c r="EO40" s="25">
        <f t="shared" si="15"/>
        <v>749773.96</v>
      </c>
      <c r="EP40" s="25">
        <f t="shared" si="15"/>
        <v>2501260.81</v>
      </c>
      <c r="EQ40" s="25">
        <f t="shared" si="15"/>
        <v>2749650.7</v>
      </c>
      <c r="ER40" s="25">
        <f t="shared" si="15"/>
        <v>183.99</v>
      </c>
      <c r="ES40" s="25">
        <f t="shared" si="15"/>
        <v>536969.44999999995</v>
      </c>
      <c r="ET40" s="25">
        <f t="shared" si="15"/>
        <v>342129.27</v>
      </c>
      <c r="EU40" s="25">
        <f t="shared" si="15"/>
        <v>558222.68999999994</v>
      </c>
      <c r="EV40" s="25">
        <f t="shared" si="15"/>
        <v>665304.61</v>
      </c>
      <c r="EW40" s="2"/>
    </row>
    <row r="41" spans="1:153" ht="12" customHeight="1">
      <c r="A41" s="48" t="s">
        <v>338</v>
      </c>
      <c r="B41" s="48"/>
      <c r="C41" s="48"/>
      <c r="D41" s="48"/>
      <c r="E41" s="48"/>
      <c r="F41" s="48"/>
      <c r="G41" s="48"/>
      <c r="H41" s="4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47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47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</row>
    <row r="42" spans="1:153" ht="12" customHeight="1">
      <c r="A42" s="1" t="s">
        <v>327</v>
      </c>
      <c r="B42" s="19">
        <v>10</v>
      </c>
      <c r="C42" s="19">
        <v>10</v>
      </c>
      <c r="D42" s="1" t="s">
        <v>5</v>
      </c>
      <c r="E42" s="19">
        <v>10</v>
      </c>
      <c r="F42" s="19">
        <v>6</v>
      </c>
      <c r="G42" s="20">
        <v>10</v>
      </c>
      <c r="H42" s="20">
        <v>0</v>
      </c>
      <c r="I42" s="20">
        <v>0</v>
      </c>
      <c r="J42" s="20"/>
      <c r="K42" s="20"/>
      <c r="L42" s="20" t="s">
        <v>5</v>
      </c>
      <c r="M42" s="21" t="s">
        <v>5</v>
      </c>
      <c r="N42" s="19">
        <v>7</v>
      </c>
      <c r="O42" s="1" t="s">
        <v>5</v>
      </c>
      <c r="P42" s="19">
        <v>6</v>
      </c>
      <c r="Q42" s="19">
        <v>2</v>
      </c>
      <c r="R42" s="20">
        <v>6</v>
      </c>
      <c r="S42" s="20">
        <v>0</v>
      </c>
      <c r="T42" s="20">
        <v>0</v>
      </c>
      <c r="U42" s="20"/>
      <c r="V42" s="20"/>
      <c r="W42" s="20" t="s">
        <v>5</v>
      </c>
      <c r="X42" s="21" t="s">
        <v>5</v>
      </c>
      <c r="Y42" s="19">
        <v>2491851</v>
      </c>
      <c r="Z42" s="20" t="s">
        <v>5</v>
      </c>
      <c r="AA42" s="19">
        <v>2392514</v>
      </c>
      <c r="AB42" s="20" t="s">
        <v>5</v>
      </c>
      <c r="AC42" s="19">
        <v>1539</v>
      </c>
      <c r="AD42" s="22">
        <v>822997071.85000002</v>
      </c>
      <c r="AE42" s="22">
        <v>748336386.29999995</v>
      </c>
      <c r="AF42" s="22">
        <v>666163855.82000005</v>
      </c>
      <c r="AG42" s="22">
        <v>82172530.480000004</v>
      </c>
      <c r="AH42" s="22">
        <v>0</v>
      </c>
      <c r="AI42" s="22">
        <v>0</v>
      </c>
      <c r="AJ42" s="22">
        <v>74660685.549999997</v>
      </c>
      <c r="AK42" s="22">
        <v>620363781.55999994</v>
      </c>
      <c r="AL42" s="22">
        <v>435851853.66000003</v>
      </c>
      <c r="AM42" s="22">
        <v>747125987.61000001</v>
      </c>
      <c r="AN42" s="22">
        <v>327579430.81999999</v>
      </c>
      <c r="AO42" s="22">
        <v>52496749.259999998</v>
      </c>
      <c r="AP42" s="22">
        <v>25957337.210000001</v>
      </c>
      <c r="AQ42" s="22">
        <v>83565693.530000001</v>
      </c>
      <c r="AR42" s="22">
        <v>90373642.299999997</v>
      </c>
      <c r="AS42" s="22">
        <v>33026292.399999999</v>
      </c>
      <c r="AT42" s="22">
        <v>0</v>
      </c>
      <c r="AU42" s="22">
        <v>10046444.380000001</v>
      </c>
      <c r="AV42" s="22">
        <v>32113271.739999998</v>
      </c>
      <c r="AW42" s="22">
        <v>98857504.980000004</v>
      </c>
      <c r="AX42" s="22">
        <v>6068757.3499999996</v>
      </c>
      <c r="AY42" s="22">
        <v>104926262.33</v>
      </c>
      <c r="AZ42" s="22">
        <v>62567860.810000002</v>
      </c>
      <c r="BA42" s="22">
        <v>30559272.539999999</v>
      </c>
      <c r="BB42" s="22">
        <v>221493161.11000001</v>
      </c>
      <c r="BC42" s="22">
        <v>99068674.519999996</v>
      </c>
      <c r="BD42" s="22">
        <v>203994936.84999999</v>
      </c>
      <c r="BE42" s="22">
        <v>28446.51</v>
      </c>
      <c r="BF42" s="22">
        <v>197298394.94999999</v>
      </c>
      <c r="BG42" s="22">
        <v>71635987.700000003</v>
      </c>
      <c r="BH42" s="22">
        <v>22182450.66</v>
      </c>
      <c r="BI42" s="22">
        <v>211537516.94999999</v>
      </c>
      <c r="BJ42" s="22">
        <v>79592262.840000004</v>
      </c>
      <c r="BK42" s="22">
        <v>0</v>
      </c>
      <c r="BL42" s="22">
        <v>291145279.81999999</v>
      </c>
      <c r="BM42" s="22">
        <v>0</v>
      </c>
      <c r="BN42" s="22">
        <v>0</v>
      </c>
      <c r="BO42" s="22">
        <v>0</v>
      </c>
      <c r="BP42" s="22">
        <v>0</v>
      </c>
      <c r="BQ42" s="22">
        <v>0</v>
      </c>
      <c r="BR42" s="22">
        <v>0</v>
      </c>
      <c r="BS42" s="22">
        <v>0</v>
      </c>
      <c r="BT42" s="22">
        <v>0</v>
      </c>
      <c r="BU42" s="22">
        <v>0</v>
      </c>
      <c r="BV42" s="22">
        <v>0</v>
      </c>
      <c r="BW42" s="22">
        <v>0</v>
      </c>
      <c r="BX42" s="22">
        <v>0</v>
      </c>
      <c r="BY42" s="22">
        <v>0</v>
      </c>
      <c r="BZ42" s="22">
        <v>0</v>
      </c>
      <c r="CA42" s="22">
        <v>0</v>
      </c>
      <c r="CB42" s="22">
        <v>0</v>
      </c>
      <c r="CC42" s="19">
        <v>2332747</v>
      </c>
      <c r="CD42" s="47"/>
      <c r="CE42" s="19">
        <v>721911</v>
      </c>
      <c r="CF42" s="19">
        <v>575583</v>
      </c>
      <c r="CG42" s="19">
        <v>512216</v>
      </c>
      <c r="CH42" s="19">
        <v>672556</v>
      </c>
      <c r="CI42" s="19">
        <v>596840</v>
      </c>
      <c r="CJ42" s="19">
        <v>628307</v>
      </c>
      <c r="CK42" s="19">
        <v>570768</v>
      </c>
      <c r="CL42" s="22">
        <v>225211.67</v>
      </c>
      <c r="CM42" s="22">
        <v>285242.68</v>
      </c>
      <c r="CN42" s="22">
        <v>38237.5</v>
      </c>
      <c r="CO42" s="22">
        <v>60473.93</v>
      </c>
      <c r="CP42" s="22">
        <v>0</v>
      </c>
      <c r="CQ42" s="22">
        <v>0</v>
      </c>
      <c r="CR42" s="22">
        <v>198922.5</v>
      </c>
      <c r="CS42" s="22">
        <v>26288.42</v>
      </c>
      <c r="CT42" s="22">
        <v>268673.90000000002</v>
      </c>
      <c r="CU42" s="22">
        <v>79545.94</v>
      </c>
      <c r="CV42" s="22">
        <v>113453.77</v>
      </c>
      <c r="CW42" s="22">
        <v>104382.98</v>
      </c>
      <c r="CX42" s="22">
        <v>78359.5</v>
      </c>
      <c r="CY42" s="22">
        <v>5527.44</v>
      </c>
      <c r="CZ42" s="22">
        <v>153107.29</v>
      </c>
      <c r="DA42" s="19">
        <v>573749</v>
      </c>
      <c r="DB42" s="47"/>
      <c r="DC42" s="19">
        <v>149114</v>
      </c>
      <c r="DD42" s="19">
        <v>82341</v>
      </c>
      <c r="DE42" s="19">
        <v>98484</v>
      </c>
      <c r="DF42" s="19">
        <v>92863</v>
      </c>
      <c r="DG42" s="22">
        <v>22602.69</v>
      </c>
      <c r="DH42" s="22">
        <v>22601.69</v>
      </c>
      <c r="DI42" s="22">
        <v>0</v>
      </c>
      <c r="DJ42" s="22">
        <v>0</v>
      </c>
      <c r="DK42" s="22">
        <v>0</v>
      </c>
      <c r="DL42" s="22">
        <v>0</v>
      </c>
      <c r="DM42" s="22">
        <v>13835.76</v>
      </c>
      <c r="DN42" s="22">
        <v>943.45</v>
      </c>
      <c r="DO42" s="22">
        <v>5612.28</v>
      </c>
      <c r="DP42" s="1"/>
      <c r="DQ42" s="19">
        <v>54</v>
      </c>
      <c r="DR42" s="19">
        <v>592</v>
      </c>
      <c r="DS42" s="19">
        <v>232453</v>
      </c>
      <c r="DT42" s="19">
        <v>44</v>
      </c>
      <c r="DU42" s="22">
        <v>535</v>
      </c>
      <c r="DV42" s="19">
        <v>15738</v>
      </c>
      <c r="DW42" s="19">
        <v>54999</v>
      </c>
      <c r="DX42" s="19">
        <v>90418</v>
      </c>
      <c r="DY42" s="19">
        <v>150</v>
      </c>
      <c r="DZ42" s="19">
        <v>54999</v>
      </c>
      <c r="EA42" s="19">
        <v>90298</v>
      </c>
      <c r="EB42" s="19">
        <v>164</v>
      </c>
      <c r="EC42" s="19">
        <v>13073</v>
      </c>
      <c r="ED42" s="19">
        <v>22318</v>
      </c>
      <c r="EE42" s="19">
        <v>109</v>
      </c>
      <c r="EF42" s="19">
        <v>6633</v>
      </c>
      <c r="EG42" s="22">
        <v>45368.13</v>
      </c>
      <c r="EH42" s="19">
        <v>199725</v>
      </c>
      <c r="EI42" s="19">
        <v>186197</v>
      </c>
      <c r="EJ42" s="22">
        <v>1408812.01</v>
      </c>
      <c r="EK42" s="22">
        <v>439551.11</v>
      </c>
      <c r="EL42" s="22">
        <v>7286227.71</v>
      </c>
      <c r="EM42" s="22">
        <v>2270632.0099999998</v>
      </c>
      <c r="EN42" s="22">
        <v>4189159.32</v>
      </c>
      <c r="EO42" s="22">
        <v>1623545.57</v>
      </c>
      <c r="EP42" s="22">
        <v>7837671.5</v>
      </c>
      <c r="EQ42" s="22">
        <v>3614986.05</v>
      </c>
      <c r="ER42" s="22">
        <v>151349.91</v>
      </c>
      <c r="ES42" s="22">
        <v>2840205.26</v>
      </c>
      <c r="ET42" s="22">
        <v>1679737.14</v>
      </c>
      <c r="EU42" s="22">
        <v>4267035.55</v>
      </c>
      <c r="EV42" s="22">
        <v>547640.86</v>
      </c>
      <c r="EW42" s="2"/>
    </row>
    <row r="43" spans="1:153" ht="12" customHeight="1">
      <c r="A43" s="1" t="s">
        <v>329</v>
      </c>
      <c r="B43" s="19">
        <v>8</v>
      </c>
      <c r="C43" s="19">
        <v>7</v>
      </c>
      <c r="D43" s="1" t="s">
        <v>5</v>
      </c>
      <c r="E43" s="19">
        <v>7</v>
      </c>
      <c r="F43" s="19">
        <v>52</v>
      </c>
      <c r="G43" s="20">
        <v>7</v>
      </c>
      <c r="H43" s="20">
        <v>0</v>
      </c>
      <c r="I43" s="20">
        <v>0</v>
      </c>
      <c r="J43" s="20"/>
      <c r="K43" s="20"/>
      <c r="L43" s="20" t="s">
        <v>5</v>
      </c>
      <c r="M43" s="21" t="s">
        <v>5</v>
      </c>
      <c r="N43" s="19">
        <v>7</v>
      </c>
      <c r="O43" s="1" t="s">
        <v>5</v>
      </c>
      <c r="P43" s="19">
        <v>7</v>
      </c>
      <c r="Q43" s="19">
        <v>1</v>
      </c>
      <c r="R43" s="20">
        <v>7</v>
      </c>
      <c r="S43" s="20">
        <v>0</v>
      </c>
      <c r="T43" s="20">
        <v>0</v>
      </c>
      <c r="U43" s="20"/>
      <c r="V43" s="20"/>
      <c r="W43" s="20" t="s">
        <v>5</v>
      </c>
      <c r="X43" s="21" t="s">
        <v>5</v>
      </c>
      <c r="Y43" s="19">
        <v>1659876</v>
      </c>
      <c r="Z43" s="20" t="s">
        <v>5</v>
      </c>
      <c r="AA43" s="19">
        <v>1756704</v>
      </c>
      <c r="AB43" s="20" t="s">
        <v>5</v>
      </c>
      <c r="AC43" s="19">
        <v>1478</v>
      </c>
      <c r="AD43" s="22">
        <v>565320418.48000002</v>
      </c>
      <c r="AE43" s="22">
        <v>528410918.89999998</v>
      </c>
      <c r="AF43" s="22">
        <v>413588273.56</v>
      </c>
      <c r="AG43" s="22">
        <v>114822645.34</v>
      </c>
      <c r="AH43" s="22">
        <v>0</v>
      </c>
      <c r="AI43" s="22">
        <v>0</v>
      </c>
      <c r="AJ43" s="22">
        <v>36909499.579999998</v>
      </c>
      <c r="AK43" s="22">
        <v>489753194.27999997</v>
      </c>
      <c r="AL43" s="22">
        <v>258821559.72999999</v>
      </c>
      <c r="AM43" s="22">
        <v>594756868.17999995</v>
      </c>
      <c r="AN43" s="22">
        <v>237739318.38</v>
      </c>
      <c r="AO43" s="22">
        <v>57964928.850000001</v>
      </c>
      <c r="AP43" s="22">
        <v>12765244.42</v>
      </c>
      <c r="AQ43" s="22">
        <v>58319678.140000001</v>
      </c>
      <c r="AR43" s="22">
        <v>55964171.68</v>
      </c>
      <c r="AS43" s="22">
        <v>0</v>
      </c>
      <c r="AT43" s="22">
        <v>0</v>
      </c>
      <c r="AU43" s="22">
        <v>15112560.73</v>
      </c>
      <c r="AV43" s="22">
        <v>37612734.560000002</v>
      </c>
      <c r="AW43" s="22">
        <v>111927100.15000001</v>
      </c>
      <c r="AX43" s="22">
        <v>795080.26</v>
      </c>
      <c r="AY43" s="22">
        <v>112722180.41</v>
      </c>
      <c r="AZ43" s="22">
        <v>67574254.719999999</v>
      </c>
      <c r="BA43" s="22">
        <v>11895943.25</v>
      </c>
      <c r="BB43" s="22">
        <v>164825171.41999999</v>
      </c>
      <c r="BC43" s="22">
        <v>71229579.870000005</v>
      </c>
      <c r="BD43" s="22">
        <v>183951760.28</v>
      </c>
      <c r="BE43" s="22">
        <v>0</v>
      </c>
      <c r="BF43" s="22">
        <v>110385732.11</v>
      </c>
      <c r="BG43" s="22">
        <v>65860584.829999998</v>
      </c>
      <c r="BH43" s="22">
        <v>48363438.689999998</v>
      </c>
      <c r="BI43" s="22">
        <v>16866151.350000001</v>
      </c>
      <c r="BJ43" s="22">
        <v>207743604.28</v>
      </c>
      <c r="BK43" s="22">
        <v>0</v>
      </c>
      <c r="BL43" s="22">
        <v>224609755.63</v>
      </c>
      <c r="BM43" s="22">
        <v>0</v>
      </c>
      <c r="BN43" s="22">
        <v>0</v>
      </c>
      <c r="BO43" s="22">
        <v>0</v>
      </c>
      <c r="BP43" s="22">
        <v>0</v>
      </c>
      <c r="BQ43" s="22">
        <v>0</v>
      </c>
      <c r="BR43" s="22">
        <v>0</v>
      </c>
      <c r="BS43" s="22">
        <v>0</v>
      </c>
      <c r="BT43" s="22">
        <v>0</v>
      </c>
      <c r="BU43" s="22">
        <v>0</v>
      </c>
      <c r="BV43" s="22">
        <v>0</v>
      </c>
      <c r="BW43" s="22">
        <v>0</v>
      </c>
      <c r="BX43" s="22">
        <v>0</v>
      </c>
      <c r="BY43" s="22">
        <v>0</v>
      </c>
      <c r="BZ43" s="22">
        <v>0</v>
      </c>
      <c r="CA43" s="22">
        <v>0</v>
      </c>
      <c r="CB43" s="22">
        <v>0</v>
      </c>
      <c r="CC43" s="19">
        <v>1303217</v>
      </c>
      <c r="CD43" s="47"/>
      <c r="CE43" s="19">
        <v>665077</v>
      </c>
      <c r="CF43" s="19">
        <v>543177</v>
      </c>
      <c r="CG43" s="19">
        <v>517288</v>
      </c>
      <c r="CH43" s="19">
        <v>615399</v>
      </c>
      <c r="CI43" s="19">
        <v>587697</v>
      </c>
      <c r="CJ43" s="19">
        <v>569623</v>
      </c>
      <c r="CK43" s="19">
        <v>544396</v>
      </c>
      <c r="CL43" s="22">
        <v>191645.34</v>
      </c>
      <c r="CM43" s="22">
        <v>177613.09</v>
      </c>
      <c r="CN43" s="22">
        <v>43098.879999999997</v>
      </c>
      <c r="CO43" s="22">
        <v>0</v>
      </c>
      <c r="CP43" s="22">
        <v>0</v>
      </c>
      <c r="CQ43" s="22">
        <v>0</v>
      </c>
      <c r="CR43" s="22">
        <v>118763.48</v>
      </c>
      <c r="CS43" s="22">
        <v>70894.58</v>
      </c>
      <c r="CT43" s="22">
        <v>103674.24000000001</v>
      </c>
      <c r="CU43" s="22">
        <v>72875.81</v>
      </c>
      <c r="CV43" s="22">
        <v>76949.09</v>
      </c>
      <c r="CW43" s="22">
        <v>86356.7</v>
      </c>
      <c r="CX43" s="22">
        <v>63061.25</v>
      </c>
      <c r="CY43" s="22">
        <v>5479.6</v>
      </c>
      <c r="CZ43" s="22">
        <v>105538.99</v>
      </c>
      <c r="DA43" s="19">
        <v>533221</v>
      </c>
      <c r="DB43" s="47"/>
      <c r="DC43" s="19">
        <v>152763</v>
      </c>
      <c r="DD43" s="19">
        <v>147353</v>
      </c>
      <c r="DE43" s="19">
        <v>192400</v>
      </c>
      <c r="DF43" s="19">
        <v>175588</v>
      </c>
      <c r="DG43" s="22">
        <v>25911.81</v>
      </c>
      <c r="DH43" s="22">
        <v>20730.87</v>
      </c>
      <c r="DI43" s="22">
        <v>0</v>
      </c>
      <c r="DJ43" s="22">
        <v>0</v>
      </c>
      <c r="DK43" s="22">
        <v>0</v>
      </c>
      <c r="DL43" s="22">
        <v>0</v>
      </c>
      <c r="DM43" s="22">
        <v>22744.97</v>
      </c>
      <c r="DN43" s="22">
        <v>1553.15</v>
      </c>
      <c r="DO43" s="22">
        <v>7055.03</v>
      </c>
      <c r="DP43" s="1"/>
      <c r="DQ43" s="19">
        <v>519</v>
      </c>
      <c r="DR43" s="19">
        <v>4446</v>
      </c>
      <c r="DS43" s="19">
        <v>107578</v>
      </c>
      <c r="DT43" s="19">
        <v>4769</v>
      </c>
      <c r="DU43" s="22">
        <v>112180.24</v>
      </c>
      <c r="DV43" s="19">
        <v>1148320</v>
      </c>
      <c r="DW43" s="19">
        <v>64241</v>
      </c>
      <c r="DX43" s="19">
        <v>83001</v>
      </c>
      <c r="DY43" s="19">
        <v>2916</v>
      </c>
      <c r="DZ43" s="19">
        <v>64241</v>
      </c>
      <c r="EA43" s="19">
        <v>87334</v>
      </c>
      <c r="EB43" s="19">
        <v>2475</v>
      </c>
      <c r="EC43" s="19">
        <v>31308</v>
      </c>
      <c r="ED43" s="19">
        <v>34667</v>
      </c>
      <c r="EE43" s="19">
        <v>82</v>
      </c>
      <c r="EF43" s="19">
        <v>3129</v>
      </c>
      <c r="EG43" s="22">
        <v>8913.69</v>
      </c>
      <c r="EH43" s="19">
        <v>1119615</v>
      </c>
      <c r="EI43" s="19">
        <v>815017</v>
      </c>
      <c r="EJ43" s="22">
        <v>78182707.329999998</v>
      </c>
      <c r="EK43" s="22">
        <v>606776.6</v>
      </c>
      <c r="EL43" s="22">
        <v>1788719.99</v>
      </c>
      <c r="EM43" s="22">
        <v>1251263.29</v>
      </c>
      <c r="EN43" s="22">
        <v>47913.1</v>
      </c>
      <c r="EO43" s="22">
        <v>402127.42</v>
      </c>
      <c r="EP43" s="22">
        <v>126900.77</v>
      </c>
      <c r="EQ43" s="22">
        <v>666038.52</v>
      </c>
      <c r="ER43" s="22">
        <v>0</v>
      </c>
      <c r="ES43" s="22">
        <v>211369.23</v>
      </c>
      <c r="ET43" s="22">
        <v>112388.21</v>
      </c>
      <c r="EU43" s="22">
        <v>93787.14</v>
      </c>
      <c r="EV43" s="22">
        <v>255447.43</v>
      </c>
      <c r="EW43" s="2"/>
    </row>
    <row r="44" spans="1:153" ht="12" customHeight="1">
      <c r="A44" s="1" t="s">
        <v>330</v>
      </c>
      <c r="B44" s="19">
        <v>50</v>
      </c>
      <c r="C44" s="19">
        <v>45</v>
      </c>
      <c r="D44" s="1" t="s">
        <v>5</v>
      </c>
      <c r="E44" s="19">
        <v>45</v>
      </c>
      <c r="F44" s="19">
        <v>185</v>
      </c>
      <c r="G44" s="20">
        <v>45</v>
      </c>
      <c r="H44" s="20">
        <v>0</v>
      </c>
      <c r="I44" s="20">
        <v>0</v>
      </c>
      <c r="J44" s="20"/>
      <c r="K44" s="20"/>
      <c r="L44" s="20" t="s">
        <v>5</v>
      </c>
      <c r="M44" s="21" t="s">
        <v>5</v>
      </c>
      <c r="N44" s="19">
        <v>46</v>
      </c>
      <c r="O44" s="1" t="s">
        <v>5</v>
      </c>
      <c r="P44" s="19">
        <v>45</v>
      </c>
      <c r="Q44" s="19">
        <v>85</v>
      </c>
      <c r="R44" s="20">
        <v>46</v>
      </c>
      <c r="S44" s="20">
        <v>0</v>
      </c>
      <c r="T44" s="20">
        <v>0</v>
      </c>
      <c r="U44" s="20"/>
      <c r="V44" s="20"/>
      <c r="W44" s="20" t="s">
        <v>5</v>
      </c>
      <c r="X44" s="21" t="s">
        <v>5</v>
      </c>
      <c r="Y44" s="19">
        <v>3811914</v>
      </c>
      <c r="Z44" s="20" t="s">
        <v>5</v>
      </c>
      <c r="AA44" s="19">
        <v>10818255</v>
      </c>
      <c r="AB44" s="20" t="s">
        <v>5</v>
      </c>
      <c r="AC44" s="19">
        <v>5173</v>
      </c>
      <c r="AD44" s="22">
        <v>3139108869.5700002</v>
      </c>
      <c r="AE44" s="22">
        <v>2952262809.96</v>
      </c>
      <c r="AF44" s="22">
        <v>1319391264.22</v>
      </c>
      <c r="AG44" s="22">
        <v>1632871545.73</v>
      </c>
      <c r="AH44" s="22">
        <v>0</v>
      </c>
      <c r="AI44" s="22">
        <v>0.01</v>
      </c>
      <c r="AJ44" s="22">
        <v>186846059.61000001</v>
      </c>
      <c r="AK44" s="22">
        <v>2779455080.5</v>
      </c>
      <c r="AL44" s="22">
        <v>2002149372.25</v>
      </c>
      <c r="AM44" s="22">
        <v>2838119115.0100002</v>
      </c>
      <c r="AN44" s="22">
        <v>1896719248.4200001</v>
      </c>
      <c r="AO44" s="22">
        <v>489524941.04000002</v>
      </c>
      <c r="AP44" s="22">
        <v>59899584.740000002</v>
      </c>
      <c r="AQ44" s="22">
        <v>204609722.78</v>
      </c>
      <c r="AR44" s="22">
        <v>285660199.00999999</v>
      </c>
      <c r="AS44" s="22">
        <v>115674084.67</v>
      </c>
      <c r="AT44" s="22">
        <v>10846759.18</v>
      </c>
      <c r="AU44" s="22">
        <v>340089903.58999997</v>
      </c>
      <c r="AV44" s="22">
        <v>390414053.41000003</v>
      </c>
      <c r="AW44" s="22">
        <v>390901423.80000001</v>
      </c>
      <c r="AX44" s="22">
        <v>11117861.48</v>
      </c>
      <c r="AY44" s="22">
        <v>402019285.27999997</v>
      </c>
      <c r="AZ44" s="22">
        <v>329279693.50999999</v>
      </c>
      <c r="BA44" s="22">
        <v>169096923.78999999</v>
      </c>
      <c r="BB44" s="22">
        <v>41003964.009999998</v>
      </c>
      <c r="BC44" s="22">
        <v>473751039.95999998</v>
      </c>
      <c r="BD44" s="22">
        <v>875770325.24000001</v>
      </c>
      <c r="BE44" s="22">
        <v>0</v>
      </c>
      <c r="BF44" s="22">
        <v>222499231.40000001</v>
      </c>
      <c r="BG44" s="22">
        <v>381894613.17000002</v>
      </c>
      <c r="BH44" s="22">
        <v>46512779.560000002</v>
      </c>
      <c r="BI44" s="22">
        <v>274896043.13</v>
      </c>
      <c r="BJ44" s="22">
        <v>376010581</v>
      </c>
      <c r="BK44" s="22">
        <v>0</v>
      </c>
      <c r="BL44" s="22">
        <v>650906624.13</v>
      </c>
      <c r="BM44" s="22">
        <v>0</v>
      </c>
      <c r="BN44" s="22">
        <v>0</v>
      </c>
      <c r="BO44" s="22">
        <v>0</v>
      </c>
      <c r="BP44" s="22">
        <v>0</v>
      </c>
      <c r="BQ44" s="22">
        <v>0</v>
      </c>
      <c r="BR44" s="22">
        <v>0</v>
      </c>
      <c r="BS44" s="22">
        <v>0</v>
      </c>
      <c r="BT44" s="22">
        <v>0</v>
      </c>
      <c r="BU44" s="22">
        <v>0</v>
      </c>
      <c r="BV44" s="22">
        <v>0</v>
      </c>
      <c r="BW44" s="22">
        <v>0</v>
      </c>
      <c r="BX44" s="22">
        <v>0</v>
      </c>
      <c r="BY44" s="22">
        <v>0</v>
      </c>
      <c r="BZ44" s="22">
        <v>0</v>
      </c>
      <c r="CA44" s="22">
        <v>0</v>
      </c>
      <c r="CB44" s="22">
        <v>0</v>
      </c>
      <c r="CC44" s="19">
        <v>3652572</v>
      </c>
      <c r="CD44" s="47"/>
      <c r="CE44" s="19">
        <v>1307800</v>
      </c>
      <c r="CF44" s="19">
        <v>1159303</v>
      </c>
      <c r="CG44" s="19">
        <v>1142082</v>
      </c>
      <c r="CH44" s="19">
        <v>1540467</v>
      </c>
      <c r="CI44" s="19">
        <v>1520976</v>
      </c>
      <c r="CJ44" s="19">
        <v>1383549</v>
      </c>
      <c r="CK44" s="19">
        <v>1361631</v>
      </c>
      <c r="CL44" s="22">
        <v>272598.73</v>
      </c>
      <c r="CM44" s="22">
        <v>322893.77</v>
      </c>
      <c r="CN44" s="22">
        <v>29096.26</v>
      </c>
      <c r="CO44" s="22">
        <v>66004.789999999994</v>
      </c>
      <c r="CP44" s="22">
        <v>0</v>
      </c>
      <c r="CQ44" s="22">
        <v>72.150000000000006</v>
      </c>
      <c r="CR44" s="22">
        <v>223938.12</v>
      </c>
      <c r="CS44" s="22">
        <v>48394.29</v>
      </c>
      <c r="CT44" s="22">
        <v>252173.41</v>
      </c>
      <c r="CU44" s="22">
        <v>213057.81</v>
      </c>
      <c r="CV44" s="22">
        <v>216109.15</v>
      </c>
      <c r="CW44" s="22">
        <v>262390.05</v>
      </c>
      <c r="CX44" s="22">
        <v>182359.24</v>
      </c>
      <c r="CY44" s="22">
        <v>16921.53</v>
      </c>
      <c r="CZ44" s="22">
        <v>228327.93</v>
      </c>
      <c r="DA44" s="19">
        <v>5601772</v>
      </c>
      <c r="DB44" s="47"/>
      <c r="DC44" s="19">
        <v>1702754</v>
      </c>
      <c r="DD44" s="19">
        <v>1581232</v>
      </c>
      <c r="DE44" s="19">
        <v>2163012</v>
      </c>
      <c r="DF44" s="19">
        <v>1979023</v>
      </c>
      <c r="DG44" s="22">
        <v>269296.31</v>
      </c>
      <c r="DH44" s="22">
        <v>221298.69</v>
      </c>
      <c r="DI44" s="22">
        <v>8725.9699999999993</v>
      </c>
      <c r="DJ44" s="22">
        <v>8725.9699999999993</v>
      </c>
      <c r="DK44" s="22">
        <v>4607.3500000000004</v>
      </c>
      <c r="DL44" s="22">
        <v>4607.3500000000004</v>
      </c>
      <c r="DM44" s="22">
        <v>331067.12</v>
      </c>
      <c r="DN44" s="22">
        <v>16183.06</v>
      </c>
      <c r="DO44" s="22">
        <v>96482.01</v>
      </c>
      <c r="DP44" s="1"/>
      <c r="DQ44" s="19">
        <v>826</v>
      </c>
      <c r="DR44" s="19">
        <v>9424</v>
      </c>
      <c r="DS44" s="19">
        <v>4100763</v>
      </c>
      <c r="DT44" s="19">
        <v>1402</v>
      </c>
      <c r="DU44" s="22">
        <v>27300</v>
      </c>
      <c r="DV44" s="19">
        <v>2021415</v>
      </c>
      <c r="DW44" s="19">
        <v>398496</v>
      </c>
      <c r="DX44" s="19">
        <v>495887</v>
      </c>
      <c r="DY44" s="19">
        <v>1450</v>
      </c>
      <c r="DZ44" s="19">
        <v>411482</v>
      </c>
      <c r="EA44" s="19">
        <v>519518</v>
      </c>
      <c r="EB44" s="19">
        <v>1986</v>
      </c>
      <c r="EC44" s="19">
        <v>108791</v>
      </c>
      <c r="ED44" s="19">
        <v>125885</v>
      </c>
      <c r="EE44" s="19">
        <v>549</v>
      </c>
      <c r="EF44" s="19">
        <v>29704</v>
      </c>
      <c r="EG44" s="22">
        <v>618318.77</v>
      </c>
      <c r="EH44" s="19">
        <v>2212099</v>
      </c>
      <c r="EI44" s="19">
        <v>1992880</v>
      </c>
      <c r="EJ44" s="22">
        <v>132122892.05</v>
      </c>
      <c r="EK44" s="22">
        <v>73563026.310000002</v>
      </c>
      <c r="EL44" s="22">
        <v>243537919.86000001</v>
      </c>
      <c r="EM44" s="22">
        <v>87053791.099999994</v>
      </c>
      <c r="EN44" s="22">
        <v>10304047.48</v>
      </c>
      <c r="EO44" s="22">
        <v>52202904.380000003</v>
      </c>
      <c r="EP44" s="22">
        <v>108560516.12</v>
      </c>
      <c r="EQ44" s="22">
        <v>151057477.27000001</v>
      </c>
      <c r="ER44" s="22">
        <v>2077.02</v>
      </c>
      <c r="ES44" s="22">
        <v>11735059.59</v>
      </c>
      <c r="ET44" s="22">
        <v>151242024.62</v>
      </c>
      <c r="EU44" s="22">
        <v>11059150.85</v>
      </c>
      <c r="EV44" s="22">
        <v>21386790.920000002</v>
      </c>
      <c r="EW44" s="2"/>
    </row>
    <row r="45" spans="1:153" ht="12" customHeight="1">
      <c r="A45" s="1" t="s">
        <v>331</v>
      </c>
      <c r="B45" s="19">
        <v>17</v>
      </c>
      <c r="C45" s="19">
        <v>16</v>
      </c>
      <c r="D45" s="1" t="s">
        <v>5</v>
      </c>
      <c r="E45" s="19">
        <v>16</v>
      </c>
      <c r="F45" s="19">
        <v>18</v>
      </c>
      <c r="G45" s="20">
        <v>16</v>
      </c>
      <c r="H45" s="20">
        <v>0</v>
      </c>
      <c r="I45" s="20">
        <v>0</v>
      </c>
      <c r="J45" s="20"/>
      <c r="K45" s="20"/>
      <c r="L45" s="20" t="s">
        <v>5</v>
      </c>
      <c r="M45" s="21" t="s">
        <v>5</v>
      </c>
      <c r="N45" s="19">
        <v>10</v>
      </c>
      <c r="O45" s="1" t="s">
        <v>5</v>
      </c>
      <c r="P45" s="19">
        <v>10</v>
      </c>
      <c r="Q45" s="19">
        <v>5</v>
      </c>
      <c r="R45" s="20">
        <v>10</v>
      </c>
      <c r="S45" s="20">
        <v>0</v>
      </c>
      <c r="T45" s="20">
        <v>0</v>
      </c>
      <c r="U45" s="20"/>
      <c r="V45" s="20"/>
      <c r="W45" s="20" t="s">
        <v>5</v>
      </c>
      <c r="X45" s="21" t="s">
        <v>5</v>
      </c>
      <c r="Y45" s="19">
        <v>929506</v>
      </c>
      <c r="Z45" s="20" t="s">
        <v>5</v>
      </c>
      <c r="AA45" s="19">
        <v>988973</v>
      </c>
      <c r="AB45" s="20" t="s">
        <v>5</v>
      </c>
      <c r="AC45" s="19">
        <v>1203</v>
      </c>
      <c r="AD45" s="22">
        <v>637426540.17999995</v>
      </c>
      <c r="AE45" s="22">
        <v>611337616.26999998</v>
      </c>
      <c r="AF45" s="22">
        <v>421989123.86000001</v>
      </c>
      <c r="AG45" s="22">
        <v>184989445.16999999</v>
      </c>
      <c r="AH45" s="22">
        <v>4359047.24</v>
      </c>
      <c r="AI45" s="22">
        <v>0</v>
      </c>
      <c r="AJ45" s="22">
        <v>26088923.91</v>
      </c>
      <c r="AK45" s="22">
        <v>609532763.75999999</v>
      </c>
      <c r="AL45" s="22">
        <v>135959887.47999999</v>
      </c>
      <c r="AM45" s="22">
        <v>552806802.54999995</v>
      </c>
      <c r="AN45" s="22">
        <v>315124035.13999999</v>
      </c>
      <c r="AO45" s="22">
        <v>79366869.709999993</v>
      </c>
      <c r="AP45" s="22">
        <v>17144027.309999999</v>
      </c>
      <c r="AQ45" s="22">
        <v>30873071.52</v>
      </c>
      <c r="AR45" s="22">
        <v>53134587.039999999</v>
      </c>
      <c r="AS45" s="22">
        <v>14250450.84</v>
      </c>
      <c r="AT45" s="22">
        <v>0</v>
      </c>
      <c r="AU45" s="22">
        <v>47714998.5</v>
      </c>
      <c r="AV45" s="22">
        <v>72640030.219999999</v>
      </c>
      <c r="AW45" s="22">
        <v>107069534.12</v>
      </c>
      <c r="AX45" s="22">
        <v>989143.05</v>
      </c>
      <c r="AY45" s="22">
        <v>108058677.17</v>
      </c>
      <c r="AZ45" s="22">
        <v>72537990.700000003</v>
      </c>
      <c r="BA45" s="22">
        <v>33983476.359999999</v>
      </c>
      <c r="BB45" s="22">
        <v>23102623.18</v>
      </c>
      <c r="BC45" s="22">
        <v>70416134.200000003</v>
      </c>
      <c r="BD45" s="22">
        <v>178474811.37</v>
      </c>
      <c r="BE45" s="22">
        <v>0</v>
      </c>
      <c r="BF45" s="22">
        <v>152607391.13</v>
      </c>
      <c r="BG45" s="22">
        <v>145821679.46000001</v>
      </c>
      <c r="BH45" s="22">
        <v>18880716.370000001</v>
      </c>
      <c r="BI45" s="22">
        <v>143214811.97</v>
      </c>
      <c r="BJ45" s="22">
        <v>174094974.99000001</v>
      </c>
      <c r="BK45" s="22">
        <v>0</v>
      </c>
      <c r="BL45" s="22">
        <v>317309786.95999998</v>
      </c>
      <c r="BM45" s="22">
        <v>0</v>
      </c>
      <c r="BN45" s="22">
        <v>0</v>
      </c>
      <c r="BO45" s="22">
        <v>0</v>
      </c>
      <c r="BP45" s="22">
        <v>0</v>
      </c>
      <c r="BQ45" s="22">
        <v>0</v>
      </c>
      <c r="BR45" s="22">
        <v>0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2">
        <v>0</v>
      </c>
      <c r="BY45" s="22">
        <v>0</v>
      </c>
      <c r="BZ45" s="22">
        <v>0</v>
      </c>
      <c r="CA45" s="22">
        <v>0</v>
      </c>
      <c r="CB45" s="22">
        <v>0</v>
      </c>
      <c r="CC45" s="19">
        <v>871792</v>
      </c>
      <c r="CD45" s="47"/>
      <c r="CE45" s="19">
        <v>341120</v>
      </c>
      <c r="CF45" s="19">
        <v>289983</v>
      </c>
      <c r="CG45" s="19">
        <v>289754</v>
      </c>
      <c r="CH45" s="19">
        <v>410936</v>
      </c>
      <c r="CI45" s="19">
        <v>410686</v>
      </c>
      <c r="CJ45" s="19">
        <v>372829</v>
      </c>
      <c r="CK45" s="19">
        <v>372597</v>
      </c>
      <c r="CL45" s="22">
        <v>67910.87</v>
      </c>
      <c r="CM45" s="22">
        <v>75750.649999999994</v>
      </c>
      <c r="CN45" s="22">
        <v>983.83</v>
      </c>
      <c r="CO45" s="22">
        <v>8085.77</v>
      </c>
      <c r="CP45" s="22">
        <v>0</v>
      </c>
      <c r="CQ45" s="22">
        <v>1961</v>
      </c>
      <c r="CR45" s="22">
        <v>66684.7</v>
      </c>
      <c r="CS45" s="22">
        <v>1226.1500000000001</v>
      </c>
      <c r="CT45" s="22">
        <v>75990.42</v>
      </c>
      <c r="CU45" s="22">
        <v>48572.46</v>
      </c>
      <c r="CV45" s="22">
        <v>50613.42</v>
      </c>
      <c r="CW45" s="22">
        <v>62457.51</v>
      </c>
      <c r="CX45" s="22">
        <v>40777.51</v>
      </c>
      <c r="CY45" s="22">
        <v>4671.16</v>
      </c>
      <c r="CZ45" s="22">
        <v>33328.19</v>
      </c>
      <c r="DA45" s="19">
        <v>577811</v>
      </c>
      <c r="DB45" s="47"/>
      <c r="DC45" s="19">
        <v>138783</v>
      </c>
      <c r="DD45" s="19">
        <v>128223</v>
      </c>
      <c r="DE45" s="19">
        <v>238318</v>
      </c>
      <c r="DF45" s="19">
        <v>206021</v>
      </c>
      <c r="DG45" s="22">
        <v>24543.69</v>
      </c>
      <c r="DH45" s="22">
        <v>24095.3</v>
      </c>
      <c r="DI45" s="22">
        <v>0</v>
      </c>
      <c r="DJ45" s="22">
        <v>0</v>
      </c>
      <c r="DK45" s="22">
        <v>0</v>
      </c>
      <c r="DL45" s="22">
        <v>0</v>
      </c>
      <c r="DM45" s="22">
        <v>30518.52</v>
      </c>
      <c r="DN45" s="22">
        <v>1914.41</v>
      </c>
      <c r="DO45" s="22">
        <v>15290.81</v>
      </c>
      <c r="DP45" s="1"/>
      <c r="DQ45" s="19">
        <v>171</v>
      </c>
      <c r="DR45" s="19">
        <v>1836</v>
      </c>
      <c r="DS45" s="19">
        <v>297475</v>
      </c>
      <c r="DT45" s="19">
        <v>32</v>
      </c>
      <c r="DU45" s="22">
        <v>310</v>
      </c>
      <c r="DV45" s="19">
        <v>44902</v>
      </c>
      <c r="DW45" s="19">
        <v>101872</v>
      </c>
      <c r="DX45" s="19">
        <v>129592</v>
      </c>
      <c r="DY45" s="19">
        <v>279</v>
      </c>
      <c r="DZ45" s="19">
        <v>101872</v>
      </c>
      <c r="EA45" s="19">
        <v>129583</v>
      </c>
      <c r="EB45" s="19">
        <v>170</v>
      </c>
      <c r="EC45" s="19">
        <v>13486</v>
      </c>
      <c r="ED45" s="19">
        <v>15121</v>
      </c>
      <c r="EE45" s="19">
        <v>2</v>
      </c>
      <c r="EF45" s="19">
        <v>3572</v>
      </c>
      <c r="EG45" s="22">
        <v>27996.57</v>
      </c>
      <c r="EH45" s="19">
        <v>569684</v>
      </c>
      <c r="EI45" s="19">
        <v>482578</v>
      </c>
      <c r="EJ45" s="22">
        <v>32213359.27</v>
      </c>
      <c r="EK45" s="22">
        <v>112558010.76000001</v>
      </c>
      <c r="EL45" s="22">
        <v>436916670.81999999</v>
      </c>
      <c r="EM45" s="22">
        <v>434329399.31</v>
      </c>
      <c r="EN45" s="22">
        <v>-22402978.640000001</v>
      </c>
      <c r="EO45" s="22">
        <v>53854470.130000003</v>
      </c>
      <c r="EP45" s="22">
        <v>-51262484.890000001</v>
      </c>
      <c r="EQ45" s="22">
        <v>91333347.489999995</v>
      </c>
      <c r="ER45" s="22">
        <v>0</v>
      </c>
      <c r="ES45" s="22">
        <v>25980736.219999999</v>
      </c>
      <c r="ET45" s="22">
        <v>322970163.31</v>
      </c>
      <c r="EU45" s="22">
        <v>-10523670.51</v>
      </c>
      <c r="EV45" s="22">
        <v>37864751.340000004</v>
      </c>
      <c r="EW45" s="2"/>
    </row>
    <row r="46" spans="1:153" ht="12" customHeight="1">
      <c r="A46" s="1" t="s">
        <v>332</v>
      </c>
      <c r="B46" s="19">
        <v>39</v>
      </c>
      <c r="C46" s="19">
        <v>39</v>
      </c>
      <c r="D46" s="1" t="s">
        <v>5</v>
      </c>
      <c r="E46" s="19">
        <v>39</v>
      </c>
      <c r="F46" s="19">
        <v>17</v>
      </c>
      <c r="G46" s="20">
        <v>39</v>
      </c>
      <c r="H46" s="20">
        <v>0</v>
      </c>
      <c r="I46" s="20">
        <v>0</v>
      </c>
      <c r="J46" s="20"/>
      <c r="K46" s="20"/>
      <c r="L46" s="20" t="s">
        <v>5</v>
      </c>
      <c r="M46" s="21" t="s">
        <v>5</v>
      </c>
      <c r="N46" s="19">
        <v>22</v>
      </c>
      <c r="O46" s="1" t="s">
        <v>5</v>
      </c>
      <c r="P46" s="19">
        <v>22</v>
      </c>
      <c r="Q46" s="19">
        <v>7</v>
      </c>
      <c r="R46" s="20">
        <v>21</v>
      </c>
      <c r="S46" s="20">
        <v>0</v>
      </c>
      <c r="T46" s="20">
        <v>0</v>
      </c>
      <c r="U46" s="20"/>
      <c r="V46" s="20"/>
      <c r="W46" s="20" t="s">
        <v>5</v>
      </c>
      <c r="X46" s="21" t="s">
        <v>5</v>
      </c>
      <c r="Y46" s="19">
        <v>2702919</v>
      </c>
      <c r="Z46" s="20" t="s">
        <v>5</v>
      </c>
      <c r="AA46" s="19">
        <v>2446362</v>
      </c>
      <c r="AB46" s="20" t="s">
        <v>5</v>
      </c>
      <c r="AC46" s="19">
        <v>2238</v>
      </c>
      <c r="AD46" s="22">
        <v>1580054181.54</v>
      </c>
      <c r="AE46" s="22">
        <v>1400754686.03</v>
      </c>
      <c r="AF46" s="22">
        <v>971707820.25999999</v>
      </c>
      <c r="AG46" s="22">
        <v>429046865.76999998</v>
      </c>
      <c r="AH46" s="22">
        <v>0</v>
      </c>
      <c r="AI46" s="22">
        <v>0</v>
      </c>
      <c r="AJ46" s="22">
        <v>179299495.50999999</v>
      </c>
      <c r="AK46" s="22">
        <v>1451770257.05</v>
      </c>
      <c r="AL46" s="22">
        <v>521239493.32999998</v>
      </c>
      <c r="AM46" s="22">
        <v>1218514901.52</v>
      </c>
      <c r="AN46" s="22">
        <v>526475443.54000002</v>
      </c>
      <c r="AO46" s="22">
        <v>128988866.63</v>
      </c>
      <c r="AP46" s="22">
        <v>16405909.050000001</v>
      </c>
      <c r="AQ46" s="22">
        <v>131524799.59</v>
      </c>
      <c r="AR46" s="22">
        <v>104873183.58</v>
      </c>
      <c r="AS46" s="22">
        <v>106133.24</v>
      </c>
      <c r="AT46" s="22">
        <v>0</v>
      </c>
      <c r="AU46" s="22">
        <v>57857793.789999999</v>
      </c>
      <c r="AV46" s="22">
        <v>86718757.659999996</v>
      </c>
      <c r="AW46" s="22">
        <v>191232066.43000001</v>
      </c>
      <c r="AX46" s="22">
        <v>-2155312.5099999998</v>
      </c>
      <c r="AY46" s="22">
        <v>189076753.91999999</v>
      </c>
      <c r="AZ46" s="22">
        <v>172264479.53999999</v>
      </c>
      <c r="BA46" s="22">
        <v>166935625.91999999</v>
      </c>
      <c r="BB46" s="22">
        <v>163762598.25</v>
      </c>
      <c r="BC46" s="22">
        <v>451227843.85000002</v>
      </c>
      <c r="BD46" s="22">
        <v>640304597.76999998</v>
      </c>
      <c r="BE46" s="22">
        <v>0</v>
      </c>
      <c r="BF46" s="22">
        <v>271222940.29000002</v>
      </c>
      <c r="BG46" s="22">
        <v>304114464.44</v>
      </c>
      <c r="BH46" s="22">
        <v>65223500.100000001</v>
      </c>
      <c r="BI46" s="22">
        <v>363690485.33999997</v>
      </c>
      <c r="BJ46" s="22">
        <v>276870419.49000001</v>
      </c>
      <c r="BK46" s="22">
        <v>0</v>
      </c>
      <c r="BL46" s="22">
        <v>640560904.83000004</v>
      </c>
      <c r="BM46" s="22">
        <v>0</v>
      </c>
      <c r="BN46" s="22">
        <v>0</v>
      </c>
      <c r="BO46" s="22">
        <v>0</v>
      </c>
      <c r="BP46" s="22">
        <v>0</v>
      </c>
      <c r="BQ46" s="22">
        <v>0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2">
        <v>0</v>
      </c>
      <c r="BX46" s="22">
        <v>0</v>
      </c>
      <c r="BY46" s="22">
        <v>0</v>
      </c>
      <c r="BZ46" s="22">
        <v>0</v>
      </c>
      <c r="CA46" s="22">
        <v>0</v>
      </c>
      <c r="CB46" s="22">
        <v>0</v>
      </c>
      <c r="CC46" s="19">
        <v>2510687</v>
      </c>
      <c r="CD46" s="47"/>
      <c r="CE46" s="19">
        <v>1030786</v>
      </c>
      <c r="CF46" s="19">
        <v>849937</v>
      </c>
      <c r="CG46" s="19">
        <v>840066</v>
      </c>
      <c r="CH46" s="19">
        <v>1007579</v>
      </c>
      <c r="CI46" s="19">
        <v>996597</v>
      </c>
      <c r="CJ46" s="19">
        <v>927630</v>
      </c>
      <c r="CK46" s="19">
        <v>917908</v>
      </c>
      <c r="CL46" s="22">
        <v>275386.31</v>
      </c>
      <c r="CM46" s="22">
        <v>272584.34999999998</v>
      </c>
      <c r="CN46" s="22">
        <v>32312.11</v>
      </c>
      <c r="CO46" s="22">
        <v>0</v>
      </c>
      <c r="CP46" s="22">
        <v>141.72999999999999</v>
      </c>
      <c r="CQ46" s="22">
        <v>0</v>
      </c>
      <c r="CR46" s="22">
        <v>183075.05</v>
      </c>
      <c r="CS46" s="22">
        <v>92108.04</v>
      </c>
      <c r="CT46" s="22">
        <v>268746.61</v>
      </c>
      <c r="CU46" s="22">
        <v>143165.79</v>
      </c>
      <c r="CV46" s="22">
        <v>145997.19</v>
      </c>
      <c r="CW46" s="22">
        <v>158418.28</v>
      </c>
      <c r="CX46" s="22">
        <v>124383.71</v>
      </c>
      <c r="CY46" s="22">
        <v>12804.9</v>
      </c>
      <c r="CZ46" s="22">
        <v>218082.61</v>
      </c>
      <c r="DA46" s="19">
        <v>1762990</v>
      </c>
      <c r="DB46" s="47"/>
      <c r="DC46" s="19">
        <v>560704</v>
      </c>
      <c r="DD46" s="19">
        <v>512439</v>
      </c>
      <c r="DE46" s="19">
        <v>623023</v>
      </c>
      <c r="DF46" s="19">
        <v>578750</v>
      </c>
      <c r="DG46" s="22">
        <v>80941.7</v>
      </c>
      <c r="DH46" s="22">
        <v>74608.820000000007</v>
      </c>
      <c r="DI46" s="22">
        <v>0</v>
      </c>
      <c r="DJ46" s="22">
        <v>0</v>
      </c>
      <c r="DK46" s="22">
        <v>0</v>
      </c>
      <c r="DL46" s="22">
        <v>0</v>
      </c>
      <c r="DM46" s="22">
        <v>82192.95</v>
      </c>
      <c r="DN46" s="22">
        <v>6418.87</v>
      </c>
      <c r="DO46" s="22">
        <v>20194.3</v>
      </c>
      <c r="DP46" s="1"/>
      <c r="DQ46" s="19">
        <v>1259</v>
      </c>
      <c r="DR46" s="19">
        <v>18949</v>
      </c>
      <c r="DS46" s="19">
        <v>5847813</v>
      </c>
      <c r="DT46" s="19">
        <v>13027</v>
      </c>
      <c r="DU46" s="22">
        <v>281333.34999999998</v>
      </c>
      <c r="DV46" s="19">
        <v>9063152</v>
      </c>
      <c r="DW46" s="19">
        <v>196256</v>
      </c>
      <c r="DX46" s="19">
        <v>242481</v>
      </c>
      <c r="DY46" s="19">
        <v>291</v>
      </c>
      <c r="DZ46" s="19">
        <v>188606</v>
      </c>
      <c r="EA46" s="19">
        <v>231912</v>
      </c>
      <c r="EB46" s="19">
        <v>853</v>
      </c>
      <c r="EC46" s="19">
        <v>44846</v>
      </c>
      <c r="ED46" s="19">
        <v>50694</v>
      </c>
      <c r="EE46" s="19">
        <v>664</v>
      </c>
      <c r="EF46" s="19">
        <v>12597</v>
      </c>
      <c r="EG46" s="22">
        <v>94289.63</v>
      </c>
      <c r="EH46" s="19">
        <v>1377769</v>
      </c>
      <c r="EI46" s="19">
        <v>1111063</v>
      </c>
      <c r="EJ46" s="22">
        <v>44085728.479999997</v>
      </c>
      <c r="EK46" s="22">
        <v>1221869.8700000001</v>
      </c>
      <c r="EL46" s="22">
        <v>4762919.5199999996</v>
      </c>
      <c r="EM46" s="22">
        <v>2590810.7400000002</v>
      </c>
      <c r="EN46" s="22">
        <v>345532.67</v>
      </c>
      <c r="EO46" s="22">
        <v>801171.6</v>
      </c>
      <c r="EP46" s="22">
        <v>-47301.39</v>
      </c>
      <c r="EQ46" s="22">
        <v>1713668.25</v>
      </c>
      <c r="ER46" s="22">
        <v>27613.67</v>
      </c>
      <c r="ES46" s="22">
        <v>2002325.06</v>
      </c>
      <c r="ET46" s="22">
        <v>1579979.7</v>
      </c>
      <c r="EU46" s="22">
        <v>541851.65</v>
      </c>
      <c r="EV46" s="22">
        <v>2155696.98</v>
      </c>
      <c r="EW46" s="2"/>
    </row>
    <row r="47" spans="1:153" ht="12" customHeight="1">
      <c r="A47" s="23" t="s">
        <v>333</v>
      </c>
      <c r="B47" s="24">
        <v>124</v>
      </c>
      <c r="C47" s="24">
        <v>117</v>
      </c>
      <c r="D47" s="18" t="s">
        <v>5</v>
      </c>
      <c r="E47" s="24">
        <v>117</v>
      </c>
      <c r="F47" s="25">
        <f>SUM(F42:F46)</f>
        <v>278</v>
      </c>
      <c r="G47" s="24">
        <v>117</v>
      </c>
      <c r="H47" s="24">
        <v>0</v>
      </c>
      <c r="I47" s="24">
        <v>0</v>
      </c>
      <c r="J47" s="24"/>
      <c r="K47" s="24"/>
      <c r="L47" s="24" t="s">
        <v>5</v>
      </c>
      <c r="M47" s="26" t="s">
        <v>5</v>
      </c>
      <c r="N47" s="24">
        <v>92</v>
      </c>
      <c r="O47" s="18" t="s">
        <v>5</v>
      </c>
      <c r="P47" s="24">
        <v>90</v>
      </c>
      <c r="Q47" s="25">
        <f>SUM(Q42:Q46)</f>
        <v>100</v>
      </c>
      <c r="R47" s="24">
        <v>90</v>
      </c>
      <c r="S47" s="24">
        <v>0</v>
      </c>
      <c r="T47" s="24">
        <v>0</v>
      </c>
      <c r="U47" s="24"/>
      <c r="V47" s="24"/>
      <c r="W47" s="24" t="s">
        <v>5</v>
      </c>
      <c r="X47" s="26" t="s">
        <v>5</v>
      </c>
      <c r="Y47" s="24">
        <v>11596066</v>
      </c>
      <c r="Z47" s="24" t="s">
        <v>334</v>
      </c>
      <c r="AA47" s="24">
        <v>18402808</v>
      </c>
      <c r="AB47" s="24" t="s">
        <v>334</v>
      </c>
      <c r="AC47" s="25">
        <f t="shared" ref="AC47:BH47" si="16">SUM(AC42:AC46)</f>
        <v>11631</v>
      </c>
      <c r="AD47" s="25">
        <f t="shared" si="16"/>
        <v>6744907081.6199999</v>
      </c>
      <c r="AE47" s="25">
        <f t="shared" si="16"/>
        <v>6241102417.46</v>
      </c>
      <c r="AF47" s="25">
        <f t="shared" si="16"/>
        <v>3792840337.7200003</v>
      </c>
      <c r="AG47" s="25">
        <f t="shared" si="16"/>
        <v>2443903032.4899998</v>
      </c>
      <c r="AH47" s="25">
        <f t="shared" si="16"/>
        <v>4359047.24</v>
      </c>
      <c r="AI47" s="25">
        <f t="shared" si="16"/>
        <v>0.01</v>
      </c>
      <c r="AJ47" s="25">
        <f t="shared" si="16"/>
        <v>503804664.16000003</v>
      </c>
      <c r="AK47" s="25">
        <f t="shared" si="16"/>
        <v>5950875077.1500006</v>
      </c>
      <c r="AL47" s="25">
        <f t="shared" si="16"/>
        <v>3354022166.4499998</v>
      </c>
      <c r="AM47" s="25">
        <f t="shared" si="16"/>
        <v>5951323674.8700008</v>
      </c>
      <c r="AN47" s="25">
        <f t="shared" si="16"/>
        <v>3303637476.2999997</v>
      </c>
      <c r="AO47" s="25">
        <f t="shared" si="16"/>
        <v>808342355.49000001</v>
      </c>
      <c r="AP47" s="25">
        <f t="shared" si="16"/>
        <v>132172102.73</v>
      </c>
      <c r="AQ47" s="25">
        <f t="shared" si="16"/>
        <v>508892965.56000006</v>
      </c>
      <c r="AR47" s="25">
        <f t="shared" si="16"/>
        <v>590005783.61000001</v>
      </c>
      <c r="AS47" s="25">
        <f t="shared" si="16"/>
        <v>163056961.15000001</v>
      </c>
      <c r="AT47" s="25">
        <f t="shared" si="16"/>
        <v>10846759.18</v>
      </c>
      <c r="AU47" s="25">
        <f t="shared" si="16"/>
        <v>470821700.99000001</v>
      </c>
      <c r="AV47" s="25">
        <f t="shared" si="16"/>
        <v>619498847.59000003</v>
      </c>
      <c r="AW47" s="25">
        <f t="shared" si="16"/>
        <v>899987629.48000002</v>
      </c>
      <c r="AX47" s="25">
        <f t="shared" si="16"/>
        <v>16815529.630000003</v>
      </c>
      <c r="AY47" s="25">
        <f t="shared" si="16"/>
        <v>916803159.1099999</v>
      </c>
      <c r="AZ47" s="25">
        <f t="shared" si="16"/>
        <v>704224279.27999997</v>
      </c>
      <c r="BA47" s="25">
        <f t="shared" si="16"/>
        <v>412471241.86000001</v>
      </c>
      <c r="BB47" s="25">
        <f t="shared" si="16"/>
        <v>614187517.97000003</v>
      </c>
      <c r="BC47" s="25">
        <f t="shared" si="16"/>
        <v>1165693272.4000001</v>
      </c>
      <c r="BD47" s="25">
        <f t="shared" si="16"/>
        <v>2082496431.5099998</v>
      </c>
      <c r="BE47" s="25">
        <f t="shared" si="16"/>
        <v>28446.51</v>
      </c>
      <c r="BF47" s="25">
        <f t="shared" si="16"/>
        <v>954013689.88000011</v>
      </c>
      <c r="BG47" s="25">
        <f t="shared" si="16"/>
        <v>969327329.60000014</v>
      </c>
      <c r="BH47" s="25">
        <f t="shared" si="16"/>
        <v>201162885.38</v>
      </c>
      <c r="BI47" s="25">
        <f t="shared" ref="BI47:CN47" si="17">SUM(BI42:BI46)</f>
        <v>1010205008.74</v>
      </c>
      <c r="BJ47" s="25">
        <f t="shared" si="17"/>
        <v>1114311842.5999999</v>
      </c>
      <c r="BK47" s="25">
        <f t="shared" si="17"/>
        <v>0</v>
      </c>
      <c r="BL47" s="25">
        <f t="shared" si="17"/>
        <v>2124532351.3699999</v>
      </c>
      <c r="BM47" s="25">
        <f t="shared" si="17"/>
        <v>0</v>
      </c>
      <c r="BN47" s="25">
        <f t="shared" si="17"/>
        <v>0</v>
      </c>
      <c r="BO47" s="25">
        <f t="shared" si="17"/>
        <v>0</v>
      </c>
      <c r="BP47" s="25">
        <f t="shared" si="17"/>
        <v>0</v>
      </c>
      <c r="BQ47" s="25">
        <f t="shared" si="17"/>
        <v>0</v>
      </c>
      <c r="BR47" s="25">
        <f t="shared" si="17"/>
        <v>0</v>
      </c>
      <c r="BS47" s="25">
        <f t="shared" si="17"/>
        <v>0</v>
      </c>
      <c r="BT47" s="25">
        <f t="shared" si="17"/>
        <v>0</v>
      </c>
      <c r="BU47" s="25">
        <f t="shared" si="17"/>
        <v>0</v>
      </c>
      <c r="BV47" s="25">
        <f t="shared" si="17"/>
        <v>0</v>
      </c>
      <c r="BW47" s="25">
        <f t="shared" si="17"/>
        <v>0</v>
      </c>
      <c r="BX47" s="25">
        <f t="shared" si="17"/>
        <v>0</v>
      </c>
      <c r="BY47" s="25">
        <f t="shared" si="17"/>
        <v>0</v>
      </c>
      <c r="BZ47" s="25">
        <f t="shared" si="17"/>
        <v>0</v>
      </c>
      <c r="CA47" s="25">
        <f t="shared" si="17"/>
        <v>0</v>
      </c>
      <c r="CB47" s="25">
        <f t="shared" si="17"/>
        <v>0</v>
      </c>
      <c r="CC47" s="25">
        <f t="shared" si="17"/>
        <v>10671015</v>
      </c>
      <c r="CD47" s="47"/>
      <c r="CE47" s="25">
        <f t="shared" si="17"/>
        <v>4066694</v>
      </c>
      <c r="CF47" s="25">
        <f t="shared" si="17"/>
        <v>3417983</v>
      </c>
      <c r="CG47" s="25">
        <f t="shared" si="17"/>
        <v>3301406</v>
      </c>
      <c r="CH47" s="25">
        <f t="shared" si="17"/>
        <v>4246937</v>
      </c>
      <c r="CI47" s="25">
        <f t="shared" si="17"/>
        <v>4112796</v>
      </c>
      <c r="CJ47" s="25">
        <f t="shared" si="17"/>
        <v>3881938</v>
      </c>
      <c r="CK47" s="25">
        <f t="shared" si="17"/>
        <v>3767300</v>
      </c>
      <c r="CL47" s="25">
        <f t="shared" si="17"/>
        <v>1032752.9199999999</v>
      </c>
      <c r="CM47" s="25">
        <f t="shared" si="17"/>
        <v>1134084.54</v>
      </c>
      <c r="CN47" s="25">
        <f t="shared" si="17"/>
        <v>143728.58000000002</v>
      </c>
      <c r="CO47" s="25">
        <f t="shared" ref="CO47:DO47" si="18">SUM(CO42:CO46)</f>
        <v>134564.49</v>
      </c>
      <c r="CP47" s="25">
        <f t="shared" si="18"/>
        <v>141.72999999999999</v>
      </c>
      <c r="CQ47" s="25">
        <f t="shared" si="18"/>
        <v>2033.15</v>
      </c>
      <c r="CR47" s="25">
        <f t="shared" si="18"/>
        <v>791383.84999999986</v>
      </c>
      <c r="CS47" s="25">
        <f t="shared" si="18"/>
        <v>238911.47999999998</v>
      </c>
      <c r="CT47" s="25">
        <f t="shared" si="18"/>
        <v>969258.58000000007</v>
      </c>
      <c r="CU47" s="25">
        <f t="shared" si="18"/>
        <v>557217.81000000006</v>
      </c>
      <c r="CV47" s="25">
        <f t="shared" si="18"/>
        <v>603122.62</v>
      </c>
      <c r="CW47" s="25">
        <f t="shared" si="18"/>
        <v>674005.52</v>
      </c>
      <c r="CX47" s="25">
        <f t="shared" si="18"/>
        <v>488941.21</v>
      </c>
      <c r="CY47" s="25">
        <f t="shared" si="18"/>
        <v>45404.63</v>
      </c>
      <c r="CZ47" s="25">
        <f t="shared" si="18"/>
        <v>738385.01</v>
      </c>
      <c r="DA47" s="25">
        <f t="shared" si="18"/>
        <v>9049543</v>
      </c>
      <c r="DB47" s="47"/>
      <c r="DC47" s="25">
        <f t="shared" si="18"/>
        <v>2704118</v>
      </c>
      <c r="DD47" s="25">
        <f t="shared" si="18"/>
        <v>2451588</v>
      </c>
      <c r="DE47" s="25">
        <f t="shared" si="18"/>
        <v>3315237</v>
      </c>
      <c r="DF47" s="25">
        <f t="shared" si="18"/>
        <v>3032245</v>
      </c>
      <c r="DG47" s="25">
        <f t="shared" si="18"/>
        <v>423296.2</v>
      </c>
      <c r="DH47" s="25">
        <f t="shared" si="18"/>
        <v>363335.37</v>
      </c>
      <c r="DI47" s="25">
        <f t="shared" si="18"/>
        <v>8725.9699999999993</v>
      </c>
      <c r="DJ47" s="25">
        <f t="shared" si="18"/>
        <v>8725.9699999999993</v>
      </c>
      <c r="DK47" s="25">
        <f t="shared" si="18"/>
        <v>4607.3500000000004</v>
      </c>
      <c r="DL47" s="25">
        <f t="shared" si="18"/>
        <v>4607.3500000000004</v>
      </c>
      <c r="DM47" s="25">
        <f t="shared" si="18"/>
        <v>480359.32</v>
      </c>
      <c r="DN47" s="25">
        <f t="shared" si="18"/>
        <v>27012.94</v>
      </c>
      <c r="DO47" s="25">
        <f t="shared" si="18"/>
        <v>144634.43</v>
      </c>
      <c r="DP47" s="18"/>
      <c r="DQ47" s="25">
        <v>2829</v>
      </c>
      <c r="DR47" s="25">
        <v>35247</v>
      </c>
      <c r="DS47" s="25">
        <v>10586082</v>
      </c>
      <c r="DT47" s="25">
        <v>19274</v>
      </c>
      <c r="DU47" s="25">
        <v>421658.59</v>
      </c>
      <c r="DV47" s="25">
        <v>12293527</v>
      </c>
      <c r="DW47" s="25">
        <v>815864</v>
      </c>
      <c r="DX47" s="25">
        <v>1041379</v>
      </c>
      <c r="DY47" s="25">
        <v>5086</v>
      </c>
      <c r="DZ47" s="25">
        <v>821200</v>
      </c>
      <c r="EA47" s="25">
        <v>1058645</v>
      </c>
      <c r="EB47" s="25">
        <v>5648</v>
      </c>
      <c r="EC47" s="25">
        <v>211504</v>
      </c>
      <c r="ED47" s="25">
        <v>248685</v>
      </c>
      <c r="EE47" s="25">
        <v>1406</v>
      </c>
      <c r="EF47" s="25">
        <v>55635</v>
      </c>
      <c r="EG47" s="25">
        <v>794886.79</v>
      </c>
      <c r="EH47" s="25">
        <v>5478892</v>
      </c>
      <c r="EI47" s="25">
        <v>4587735</v>
      </c>
      <c r="EJ47" s="25">
        <v>288013499.13999999</v>
      </c>
      <c r="EK47" s="25">
        <f t="shared" ref="EK47:EV47" si="19">SUM(EK42:EK46)</f>
        <v>188389234.65000001</v>
      </c>
      <c r="EL47" s="25">
        <f t="shared" si="19"/>
        <v>694292457.89999998</v>
      </c>
      <c r="EM47" s="25">
        <f t="shared" si="19"/>
        <v>527495896.44999999</v>
      </c>
      <c r="EN47" s="25">
        <f t="shared" si="19"/>
        <v>-7516326.0700000003</v>
      </c>
      <c r="EO47" s="25">
        <f t="shared" si="19"/>
        <v>108884219.09999999</v>
      </c>
      <c r="EP47" s="25">
        <f t="shared" si="19"/>
        <v>65215302.109999999</v>
      </c>
      <c r="EQ47" s="25">
        <f t="shared" si="19"/>
        <v>248385517.57999998</v>
      </c>
      <c r="ER47" s="25">
        <f t="shared" si="19"/>
        <v>181040.59999999998</v>
      </c>
      <c r="ES47" s="25">
        <f t="shared" si="19"/>
        <v>42769695.359999999</v>
      </c>
      <c r="ET47" s="25">
        <f t="shared" si="19"/>
        <v>477584292.97999996</v>
      </c>
      <c r="EU47" s="25">
        <f t="shared" si="19"/>
        <v>5438154.6799999997</v>
      </c>
      <c r="EV47" s="25">
        <f t="shared" si="19"/>
        <v>62210327.530000001</v>
      </c>
      <c r="EW47" s="2"/>
    </row>
    <row r="48" spans="1:153" ht="12" customHeight="1">
      <c r="A48" s="18" t="s">
        <v>339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47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47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</row>
    <row r="49" spans="1:153" ht="12" customHeight="1">
      <c r="A49" s="1" t="s">
        <v>340</v>
      </c>
      <c r="B49" s="27">
        <v>423</v>
      </c>
      <c r="C49" s="27">
        <v>423</v>
      </c>
      <c r="D49" s="1" t="s">
        <v>5</v>
      </c>
      <c r="E49" s="27">
        <v>423</v>
      </c>
      <c r="F49" s="20">
        <f>SUM(F14,F21,F28,F35,F42)</f>
        <v>1834</v>
      </c>
      <c r="G49" s="27">
        <v>276</v>
      </c>
      <c r="H49" s="27">
        <v>10</v>
      </c>
      <c r="I49" s="27">
        <v>35</v>
      </c>
      <c r="J49" s="27">
        <v>0</v>
      </c>
      <c r="K49" s="27">
        <v>0</v>
      </c>
      <c r="L49" s="27" t="s">
        <v>5</v>
      </c>
      <c r="M49" s="21" t="s">
        <v>5</v>
      </c>
      <c r="N49" s="27">
        <v>82</v>
      </c>
      <c r="O49" s="1" t="s">
        <v>5</v>
      </c>
      <c r="P49" s="27">
        <v>80</v>
      </c>
      <c r="Q49" s="20">
        <f>SUM(Q14,Q21,Q28,Q35,Q42)</f>
        <v>60</v>
      </c>
      <c r="R49" s="27">
        <v>41</v>
      </c>
      <c r="S49" s="27">
        <v>1</v>
      </c>
      <c r="T49" s="27">
        <v>6</v>
      </c>
      <c r="U49" s="27">
        <v>182</v>
      </c>
      <c r="V49" s="27">
        <v>9</v>
      </c>
      <c r="W49" s="27" t="s">
        <v>5</v>
      </c>
      <c r="X49" s="21" t="s">
        <v>5</v>
      </c>
      <c r="Y49" s="27">
        <v>16876879</v>
      </c>
      <c r="Z49" s="27" t="s">
        <v>334</v>
      </c>
      <c r="AA49" s="27">
        <v>9540669</v>
      </c>
      <c r="AB49" s="27" t="s">
        <v>334</v>
      </c>
      <c r="AC49" s="20">
        <f t="shared" ref="AC49:BH49" si="20">SUM(AC14,AC21,AC28,AC35,AC42)</f>
        <v>11470</v>
      </c>
      <c r="AD49" s="20">
        <f t="shared" si="20"/>
        <v>2760090132.3299999</v>
      </c>
      <c r="AE49" s="20">
        <f t="shared" si="20"/>
        <v>2589171384.9200001</v>
      </c>
      <c r="AF49" s="20">
        <f t="shared" si="20"/>
        <v>2205965383.1999998</v>
      </c>
      <c r="AG49" s="20">
        <f t="shared" si="20"/>
        <v>381525901.72000003</v>
      </c>
      <c r="AH49" s="20">
        <f t="shared" si="20"/>
        <v>1680100</v>
      </c>
      <c r="AI49" s="20">
        <f t="shared" si="20"/>
        <v>0</v>
      </c>
      <c r="AJ49" s="20">
        <f t="shared" si="20"/>
        <v>170918747.41</v>
      </c>
      <c r="AK49" s="20">
        <f t="shared" si="20"/>
        <v>2213216356.9499998</v>
      </c>
      <c r="AL49" s="20">
        <f t="shared" si="20"/>
        <v>1020476357.24</v>
      </c>
      <c r="AM49" s="20">
        <f t="shared" si="20"/>
        <v>3466302295.7600002</v>
      </c>
      <c r="AN49" s="20">
        <f t="shared" si="20"/>
        <v>2226744040.23</v>
      </c>
      <c r="AO49" s="20">
        <f t="shared" si="20"/>
        <v>820750697.58999991</v>
      </c>
      <c r="AP49" s="20">
        <f t="shared" si="20"/>
        <v>134469386.65000001</v>
      </c>
      <c r="AQ49" s="20">
        <f t="shared" si="20"/>
        <v>416530224.86000001</v>
      </c>
      <c r="AR49" s="20">
        <f t="shared" si="20"/>
        <v>430079935.81</v>
      </c>
      <c r="AS49" s="20">
        <f t="shared" si="20"/>
        <v>33321794.399999999</v>
      </c>
      <c r="AT49" s="20">
        <f t="shared" si="20"/>
        <v>0</v>
      </c>
      <c r="AU49" s="20">
        <f t="shared" si="20"/>
        <v>151036527.63999999</v>
      </c>
      <c r="AV49" s="20">
        <f t="shared" si="20"/>
        <v>240555473.28000003</v>
      </c>
      <c r="AW49" s="20">
        <f t="shared" si="20"/>
        <v>447329994.13</v>
      </c>
      <c r="AX49" s="20">
        <f t="shared" si="20"/>
        <v>14339437.030000001</v>
      </c>
      <c r="AY49" s="20">
        <f t="shared" si="20"/>
        <v>461669431.15999997</v>
      </c>
      <c r="AZ49" s="20">
        <f t="shared" si="20"/>
        <v>408425254.17000002</v>
      </c>
      <c r="BA49" s="20">
        <f t="shared" si="20"/>
        <v>63202455.50999999</v>
      </c>
      <c r="BB49" s="20">
        <f t="shared" si="20"/>
        <v>306261114.67000002</v>
      </c>
      <c r="BC49" s="20">
        <f t="shared" si="20"/>
        <v>248353136.21999997</v>
      </c>
      <c r="BD49" s="20">
        <f t="shared" si="20"/>
        <v>710022567.38</v>
      </c>
      <c r="BE49" s="20">
        <f t="shared" si="20"/>
        <v>1036738.4</v>
      </c>
      <c r="BF49" s="20">
        <f t="shared" si="20"/>
        <v>413814013.49000001</v>
      </c>
      <c r="BG49" s="20">
        <f t="shared" si="20"/>
        <v>276584737.27999997</v>
      </c>
      <c r="BH49" s="20">
        <f t="shared" si="20"/>
        <v>75681628.640000001</v>
      </c>
      <c r="BI49" s="20">
        <f t="shared" ref="BI49:CN49" si="21">SUM(BI14,BI21,BI28,BI35,BI42)</f>
        <v>414946834.96999997</v>
      </c>
      <c r="BJ49" s="20">
        <f t="shared" si="21"/>
        <v>339592998.16999996</v>
      </c>
      <c r="BK49" s="20">
        <f t="shared" si="21"/>
        <v>12561784.640000001</v>
      </c>
      <c r="BL49" s="20">
        <f t="shared" si="21"/>
        <v>767117117.80999994</v>
      </c>
      <c r="BM49" s="20">
        <f t="shared" si="21"/>
        <v>1781943.07</v>
      </c>
      <c r="BN49" s="20">
        <f t="shared" si="21"/>
        <v>22243897.800000001</v>
      </c>
      <c r="BO49" s="20">
        <f t="shared" si="21"/>
        <v>9501616</v>
      </c>
      <c r="BP49" s="20">
        <f t="shared" si="21"/>
        <v>2638427.58</v>
      </c>
      <c r="BQ49" s="20">
        <f t="shared" si="21"/>
        <v>24877285.949999999</v>
      </c>
      <c r="BR49" s="20">
        <f t="shared" si="21"/>
        <v>2516601.1</v>
      </c>
      <c r="BS49" s="20">
        <f t="shared" si="21"/>
        <v>9471673.3200000003</v>
      </c>
      <c r="BT49" s="20">
        <f t="shared" si="21"/>
        <v>36075884.450000003</v>
      </c>
      <c r="BU49" s="20">
        <f t="shared" si="21"/>
        <v>3099763.39</v>
      </c>
      <c r="BV49" s="20">
        <f t="shared" si="21"/>
        <v>90230859.510000005</v>
      </c>
      <c r="BW49" s="20">
        <f t="shared" si="21"/>
        <v>68968287.290000007</v>
      </c>
      <c r="BX49" s="20">
        <f t="shared" si="21"/>
        <v>8533441.9600000009</v>
      </c>
      <c r="BY49" s="20">
        <f t="shared" si="21"/>
        <v>6699860.2799999993</v>
      </c>
      <c r="BZ49" s="20">
        <f t="shared" si="21"/>
        <v>2500000</v>
      </c>
      <c r="CA49" s="20">
        <f t="shared" si="21"/>
        <v>160911517.47999999</v>
      </c>
      <c r="CB49" s="20">
        <f t="shared" si="21"/>
        <v>170111377.75999999</v>
      </c>
      <c r="CC49" s="20">
        <f t="shared" si="21"/>
        <v>10838115</v>
      </c>
      <c r="CD49" s="47"/>
      <c r="CE49" s="20">
        <f t="shared" si="21"/>
        <v>3658683</v>
      </c>
      <c r="CF49" s="20">
        <f t="shared" si="21"/>
        <v>2910879</v>
      </c>
      <c r="CG49" s="20">
        <f t="shared" si="21"/>
        <v>1738807</v>
      </c>
      <c r="CH49" s="20">
        <f t="shared" si="21"/>
        <v>3323696</v>
      </c>
      <c r="CI49" s="20">
        <f t="shared" si="21"/>
        <v>1989311</v>
      </c>
      <c r="CJ49" s="20">
        <f t="shared" si="21"/>
        <v>2765029</v>
      </c>
      <c r="CK49" s="20">
        <f t="shared" si="21"/>
        <v>1778349</v>
      </c>
      <c r="CL49" s="20">
        <f t="shared" si="21"/>
        <v>1181276.18</v>
      </c>
      <c r="CM49" s="20">
        <f t="shared" si="21"/>
        <v>572637.16999999993</v>
      </c>
      <c r="CN49" s="20">
        <f t="shared" si="21"/>
        <v>61618.3</v>
      </c>
      <c r="CO49" s="20">
        <f t="shared" ref="CO49:DO49" si="22">SUM(CO14,CO21,CO28,CO35,CO42)</f>
        <v>71092.490000000005</v>
      </c>
      <c r="CP49" s="20">
        <f t="shared" si="22"/>
        <v>1729</v>
      </c>
      <c r="CQ49" s="20">
        <f t="shared" si="22"/>
        <v>13437</v>
      </c>
      <c r="CR49" s="20">
        <f t="shared" si="22"/>
        <v>667716.26</v>
      </c>
      <c r="CS49" s="20">
        <f t="shared" si="22"/>
        <v>349732.53</v>
      </c>
      <c r="CT49" s="20">
        <f t="shared" si="22"/>
        <v>373261.32000000007</v>
      </c>
      <c r="CU49" s="20">
        <f t="shared" si="22"/>
        <v>278592.02</v>
      </c>
      <c r="CV49" s="20">
        <f t="shared" si="22"/>
        <v>631849.20000000007</v>
      </c>
      <c r="CW49" s="20">
        <f t="shared" si="22"/>
        <v>536453.36</v>
      </c>
      <c r="CX49" s="20">
        <f t="shared" si="22"/>
        <v>237211.07000000004</v>
      </c>
      <c r="CY49" s="20">
        <f t="shared" si="22"/>
        <v>55428.990000000005</v>
      </c>
      <c r="CZ49" s="20">
        <f t="shared" si="22"/>
        <v>733161.34000000008</v>
      </c>
      <c r="DA49" s="20">
        <f t="shared" si="22"/>
        <v>2477870</v>
      </c>
      <c r="DB49" s="47"/>
      <c r="DC49" s="20">
        <f t="shared" si="22"/>
        <v>706727</v>
      </c>
      <c r="DD49" s="20">
        <f t="shared" si="22"/>
        <v>590509</v>
      </c>
      <c r="DE49" s="20">
        <f t="shared" si="22"/>
        <v>631722</v>
      </c>
      <c r="DF49" s="20">
        <f t="shared" si="22"/>
        <v>547635</v>
      </c>
      <c r="DG49" s="20">
        <f t="shared" si="22"/>
        <v>108607.16</v>
      </c>
      <c r="DH49" s="20">
        <f t="shared" si="22"/>
        <v>90035.55</v>
      </c>
      <c r="DI49" s="20">
        <f t="shared" si="22"/>
        <v>2840</v>
      </c>
      <c r="DJ49" s="20">
        <f t="shared" si="22"/>
        <v>0</v>
      </c>
      <c r="DK49" s="20">
        <f t="shared" si="22"/>
        <v>0</v>
      </c>
      <c r="DL49" s="20">
        <f t="shared" si="22"/>
        <v>0</v>
      </c>
      <c r="DM49" s="20">
        <f t="shared" si="22"/>
        <v>87043.97</v>
      </c>
      <c r="DN49" s="20">
        <f t="shared" si="22"/>
        <v>8760.130000000001</v>
      </c>
      <c r="DO49" s="20">
        <f t="shared" si="22"/>
        <v>22680.899999999998</v>
      </c>
      <c r="DP49" s="1"/>
      <c r="DQ49" s="20">
        <v>4745</v>
      </c>
      <c r="DR49" s="20">
        <v>46964</v>
      </c>
      <c r="DS49" s="20">
        <v>4596524</v>
      </c>
      <c r="DT49" s="20">
        <v>9174</v>
      </c>
      <c r="DU49" s="20">
        <v>243082.89</v>
      </c>
      <c r="DV49" s="20">
        <v>3330547</v>
      </c>
      <c r="DW49" s="20">
        <v>709055</v>
      </c>
      <c r="DX49" s="20">
        <v>692098</v>
      </c>
      <c r="DY49" s="20">
        <v>12327</v>
      </c>
      <c r="DZ49" s="20">
        <v>744754</v>
      </c>
      <c r="EA49" s="20">
        <v>642659</v>
      </c>
      <c r="EB49" s="20">
        <v>14071</v>
      </c>
      <c r="EC49" s="20">
        <v>219246</v>
      </c>
      <c r="ED49" s="20">
        <v>160607</v>
      </c>
      <c r="EE49" s="20">
        <v>9077</v>
      </c>
      <c r="EF49" s="20">
        <v>13841</v>
      </c>
      <c r="EG49" s="20">
        <v>61450.71</v>
      </c>
      <c r="EH49" s="20">
        <v>2667765</v>
      </c>
      <c r="EI49" s="20">
        <v>2497159</v>
      </c>
      <c r="EJ49" s="20">
        <v>93363831.420000002</v>
      </c>
      <c r="EK49" s="20">
        <f t="shared" ref="EK49:EV49" si="23">SUM(EK14,EK21,EK28,EK35,EK42)</f>
        <v>14817067.979999999</v>
      </c>
      <c r="EL49" s="20">
        <f t="shared" si="23"/>
        <v>291401863.48999995</v>
      </c>
      <c r="EM49" s="20">
        <f t="shared" si="23"/>
        <v>91908069.359999999</v>
      </c>
      <c r="EN49" s="20">
        <f t="shared" si="23"/>
        <v>3628027.4299999997</v>
      </c>
      <c r="EO49" s="20">
        <f t="shared" si="23"/>
        <v>471400051.40000004</v>
      </c>
      <c r="EP49" s="20">
        <f t="shared" si="23"/>
        <v>-267462299.59000003</v>
      </c>
      <c r="EQ49" s="20">
        <f t="shared" si="23"/>
        <v>70105462.939999998</v>
      </c>
      <c r="ER49" s="20">
        <f t="shared" si="23"/>
        <v>151349.91</v>
      </c>
      <c r="ES49" s="20">
        <f t="shared" si="23"/>
        <v>-7661235.7800000012</v>
      </c>
      <c r="ET49" s="20">
        <f t="shared" si="23"/>
        <v>2952342.96</v>
      </c>
      <c r="EU49" s="20">
        <f t="shared" si="23"/>
        <v>3877416.01</v>
      </c>
      <c r="EV49" s="20">
        <f t="shared" si="23"/>
        <v>-16227280.149999999</v>
      </c>
      <c r="EW49" s="2"/>
    </row>
    <row r="50" spans="1:153" ht="12" customHeight="1">
      <c r="A50" s="1" t="s">
        <v>341</v>
      </c>
      <c r="B50" s="27">
        <v>1724</v>
      </c>
      <c r="C50" s="27">
        <v>1724</v>
      </c>
      <c r="D50" s="1" t="s">
        <v>5</v>
      </c>
      <c r="E50" s="27">
        <v>1719</v>
      </c>
      <c r="F50" s="20">
        <f>SUM(F15,F22,F29,F36,F43)</f>
        <v>9850</v>
      </c>
      <c r="G50" s="27">
        <v>1094</v>
      </c>
      <c r="H50" s="27">
        <v>352</v>
      </c>
      <c r="I50" s="27">
        <v>263</v>
      </c>
      <c r="J50" s="27">
        <v>0</v>
      </c>
      <c r="K50" s="27">
        <v>0</v>
      </c>
      <c r="L50" s="27" t="s">
        <v>5</v>
      </c>
      <c r="M50" s="21" t="s">
        <v>5</v>
      </c>
      <c r="N50" s="27">
        <v>683</v>
      </c>
      <c r="O50" s="1" t="s">
        <v>5</v>
      </c>
      <c r="P50" s="27">
        <v>666</v>
      </c>
      <c r="Q50" s="20">
        <f>SUM(Q15,Q22,Q29,Q36,Q43)</f>
        <v>528</v>
      </c>
      <c r="R50" s="27">
        <v>305</v>
      </c>
      <c r="S50" s="27">
        <v>49</v>
      </c>
      <c r="T50" s="27">
        <v>24</v>
      </c>
      <c r="U50" s="27">
        <v>634</v>
      </c>
      <c r="V50" s="27">
        <v>197</v>
      </c>
      <c r="W50" s="27" t="s">
        <v>5</v>
      </c>
      <c r="X50" s="21" t="s">
        <v>5</v>
      </c>
      <c r="Y50" s="27">
        <v>53786184</v>
      </c>
      <c r="Z50" s="27" t="s">
        <v>334</v>
      </c>
      <c r="AA50" s="27">
        <v>38566526</v>
      </c>
      <c r="AB50" s="27" t="s">
        <v>334</v>
      </c>
      <c r="AC50" s="20">
        <f t="shared" ref="AC50:BH50" si="24">SUM(AC15,AC22,AC29,AC36,AC43)</f>
        <v>29649</v>
      </c>
      <c r="AD50" s="20">
        <f t="shared" si="24"/>
        <v>14552286631.26</v>
      </c>
      <c r="AE50" s="20">
        <f t="shared" si="24"/>
        <v>13871321584.57</v>
      </c>
      <c r="AF50" s="20">
        <f t="shared" si="24"/>
        <v>10329144971.02</v>
      </c>
      <c r="AG50" s="20">
        <f t="shared" si="24"/>
        <v>3288351717.0100002</v>
      </c>
      <c r="AH50" s="20">
        <f t="shared" si="24"/>
        <v>234873779.25</v>
      </c>
      <c r="AI50" s="20">
        <f t="shared" si="24"/>
        <v>18951117.289999999</v>
      </c>
      <c r="AJ50" s="20">
        <f t="shared" si="24"/>
        <v>680965045.05000019</v>
      </c>
      <c r="AK50" s="20">
        <f t="shared" si="24"/>
        <v>13366253087.309999</v>
      </c>
      <c r="AL50" s="20">
        <f t="shared" si="24"/>
        <v>17157174223.079998</v>
      </c>
      <c r="AM50" s="20">
        <f t="shared" si="24"/>
        <v>14653725004.950001</v>
      </c>
      <c r="AN50" s="20">
        <f t="shared" si="24"/>
        <v>11722624473.839998</v>
      </c>
      <c r="AO50" s="20">
        <f t="shared" si="24"/>
        <v>3774957860.0999999</v>
      </c>
      <c r="AP50" s="20">
        <f t="shared" si="24"/>
        <v>624742318.60000002</v>
      </c>
      <c r="AQ50" s="20">
        <f t="shared" si="24"/>
        <v>1810020832.5800002</v>
      </c>
      <c r="AR50" s="20">
        <f t="shared" si="24"/>
        <v>3000054069.1599994</v>
      </c>
      <c r="AS50" s="20">
        <f t="shared" si="24"/>
        <v>351191050.59999996</v>
      </c>
      <c r="AT50" s="20">
        <f t="shared" si="24"/>
        <v>758896.52</v>
      </c>
      <c r="AU50" s="20">
        <f t="shared" si="24"/>
        <v>1156242002.25</v>
      </c>
      <c r="AV50" s="20">
        <f t="shared" si="24"/>
        <v>1004657443.28</v>
      </c>
      <c r="AW50" s="20">
        <f t="shared" si="24"/>
        <v>515127508.97000003</v>
      </c>
      <c r="AX50" s="20">
        <f t="shared" si="24"/>
        <v>64290056.010000005</v>
      </c>
      <c r="AY50" s="20">
        <f t="shared" si="24"/>
        <v>579417564.98000002</v>
      </c>
      <c r="AZ50" s="20">
        <f t="shared" si="24"/>
        <v>1767250252.6399999</v>
      </c>
      <c r="BA50" s="20">
        <f t="shared" si="24"/>
        <v>181170524.53</v>
      </c>
      <c r="BB50" s="20">
        <f t="shared" si="24"/>
        <v>403262188.95999998</v>
      </c>
      <c r="BC50" s="20">
        <f t="shared" si="24"/>
        <v>2378620562.1500001</v>
      </c>
      <c r="BD50" s="20">
        <f t="shared" si="24"/>
        <v>2958038127.1300001</v>
      </c>
      <c r="BE50" s="20">
        <f t="shared" si="24"/>
        <v>104504678.81999999</v>
      </c>
      <c r="BF50" s="20">
        <f t="shared" si="24"/>
        <v>2048406889.8099999</v>
      </c>
      <c r="BG50" s="20">
        <f t="shared" si="24"/>
        <v>1710005421.4200001</v>
      </c>
      <c r="BH50" s="20">
        <f t="shared" si="24"/>
        <v>243194413.95000002</v>
      </c>
      <c r="BI50" s="20">
        <f t="shared" ref="BI50:CN50" si="25">SUM(BI15,BI22,BI29,BI36,BI43)</f>
        <v>2201315075.5799999</v>
      </c>
      <c r="BJ50" s="20">
        <f t="shared" si="25"/>
        <v>1259968733.1199999</v>
      </c>
      <c r="BK50" s="20">
        <f t="shared" si="25"/>
        <v>644827595.30000007</v>
      </c>
      <c r="BL50" s="20">
        <f t="shared" si="25"/>
        <v>4106111404</v>
      </c>
      <c r="BM50" s="20">
        <f t="shared" si="25"/>
        <v>5063754.08</v>
      </c>
      <c r="BN50" s="20">
        <f t="shared" si="25"/>
        <v>59786777.789999999</v>
      </c>
      <c r="BO50" s="20">
        <f t="shared" si="25"/>
        <v>22581204.949999999</v>
      </c>
      <c r="BP50" s="20">
        <f t="shared" si="25"/>
        <v>5107394.0999999996</v>
      </c>
      <c r="BQ50" s="20">
        <f t="shared" si="25"/>
        <v>59838599.990000002</v>
      </c>
      <c r="BR50" s="20">
        <f t="shared" si="25"/>
        <v>13114640.970000001</v>
      </c>
      <c r="BS50" s="20">
        <f t="shared" si="25"/>
        <v>12128349.74</v>
      </c>
      <c r="BT50" s="20">
        <f t="shared" si="25"/>
        <v>89291488.400000006</v>
      </c>
      <c r="BU50" s="20">
        <f t="shared" si="25"/>
        <v>4926188.6900000004</v>
      </c>
      <c r="BV50" s="20">
        <f t="shared" si="25"/>
        <v>39323369.269999996</v>
      </c>
      <c r="BW50" s="20">
        <f t="shared" si="25"/>
        <v>59639819.959999993</v>
      </c>
      <c r="BX50" s="20">
        <f t="shared" si="25"/>
        <v>5000</v>
      </c>
      <c r="BY50" s="20">
        <f t="shared" si="25"/>
        <v>103674427.92</v>
      </c>
      <c r="BZ50" s="20">
        <f t="shared" si="25"/>
        <v>63000</v>
      </c>
      <c r="CA50" s="20">
        <f t="shared" si="25"/>
        <v>0</v>
      </c>
      <c r="CB50" s="20">
        <f t="shared" si="25"/>
        <v>103763427.92</v>
      </c>
      <c r="CC50" s="20">
        <f t="shared" si="25"/>
        <v>41339417</v>
      </c>
      <c r="CD50" s="47"/>
      <c r="CE50" s="20">
        <f t="shared" si="25"/>
        <v>16983200</v>
      </c>
      <c r="CF50" s="20">
        <f t="shared" si="25"/>
        <v>13728519</v>
      </c>
      <c r="CG50" s="20">
        <f t="shared" si="25"/>
        <v>12121293</v>
      </c>
      <c r="CH50" s="20">
        <f t="shared" si="25"/>
        <v>15814036</v>
      </c>
      <c r="CI50" s="20">
        <f t="shared" si="25"/>
        <v>14058538</v>
      </c>
      <c r="CJ50" s="20">
        <f t="shared" si="25"/>
        <v>14442026</v>
      </c>
      <c r="CK50" s="20">
        <f t="shared" si="25"/>
        <v>13078730</v>
      </c>
      <c r="CL50" s="20">
        <f t="shared" si="25"/>
        <v>3951103.19</v>
      </c>
      <c r="CM50" s="20">
        <f t="shared" si="25"/>
        <v>2681328.4999999995</v>
      </c>
      <c r="CN50" s="20">
        <f t="shared" si="25"/>
        <v>269158.71999999997</v>
      </c>
      <c r="CO50" s="20">
        <f t="shared" ref="CO50:DO50" si="26">SUM(CO15,CO22,CO29,CO36,CO43)</f>
        <v>140723.23000000001</v>
      </c>
      <c r="CP50" s="20">
        <f t="shared" si="26"/>
        <v>5381.25</v>
      </c>
      <c r="CQ50" s="20">
        <f t="shared" si="26"/>
        <v>146803.27000000002</v>
      </c>
      <c r="CR50" s="20">
        <f t="shared" si="26"/>
        <v>2820045.76</v>
      </c>
      <c r="CS50" s="20">
        <f t="shared" si="26"/>
        <v>954396.16000000003</v>
      </c>
      <c r="CT50" s="20">
        <f t="shared" si="26"/>
        <v>702911.28999999992</v>
      </c>
      <c r="CU50" s="20">
        <f t="shared" si="26"/>
        <v>1511136.78</v>
      </c>
      <c r="CV50" s="20">
        <f t="shared" si="26"/>
        <v>2038440.7499999998</v>
      </c>
      <c r="CW50" s="20">
        <f t="shared" si="26"/>
        <v>2207359.5699999998</v>
      </c>
      <c r="CX50" s="20">
        <f t="shared" si="26"/>
        <v>1218403.73</v>
      </c>
      <c r="CY50" s="20">
        <f t="shared" si="26"/>
        <v>185270.29</v>
      </c>
      <c r="CZ50" s="20">
        <f t="shared" si="26"/>
        <v>3088882.8400000003</v>
      </c>
      <c r="DA50" s="20">
        <f t="shared" si="26"/>
        <v>16865094</v>
      </c>
      <c r="DB50" s="47"/>
      <c r="DC50" s="20">
        <f t="shared" si="26"/>
        <v>5636317</v>
      </c>
      <c r="DD50" s="20">
        <f t="shared" si="26"/>
        <v>4819477</v>
      </c>
      <c r="DE50" s="20">
        <f t="shared" si="26"/>
        <v>6072858</v>
      </c>
      <c r="DF50" s="20">
        <f t="shared" si="26"/>
        <v>5392689</v>
      </c>
      <c r="DG50" s="20">
        <f t="shared" si="26"/>
        <v>806134.3</v>
      </c>
      <c r="DH50" s="20">
        <f t="shared" si="26"/>
        <v>616281.95999999985</v>
      </c>
      <c r="DI50" s="20">
        <f t="shared" si="26"/>
        <v>625.17999999999995</v>
      </c>
      <c r="DJ50" s="20">
        <f t="shared" si="26"/>
        <v>7.5</v>
      </c>
      <c r="DK50" s="20">
        <f t="shared" si="26"/>
        <v>2610.86</v>
      </c>
      <c r="DL50" s="20">
        <f t="shared" si="26"/>
        <v>900.78</v>
      </c>
      <c r="DM50" s="20">
        <f t="shared" si="26"/>
        <v>693505.34</v>
      </c>
      <c r="DN50" s="20">
        <f t="shared" si="26"/>
        <v>48239.97</v>
      </c>
      <c r="DO50" s="20">
        <f t="shared" si="26"/>
        <v>243374.13000000003</v>
      </c>
      <c r="DP50" s="1"/>
      <c r="DQ50" s="20">
        <v>38628</v>
      </c>
      <c r="DR50" s="20">
        <v>1741648</v>
      </c>
      <c r="DS50" s="20">
        <v>116099836</v>
      </c>
      <c r="DT50" s="20">
        <v>385360</v>
      </c>
      <c r="DU50" s="20">
        <v>23578277.289999999</v>
      </c>
      <c r="DV50" s="20">
        <v>285994310</v>
      </c>
      <c r="DW50" s="20">
        <v>4351801</v>
      </c>
      <c r="DX50" s="20">
        <v>4616565</v>
      </c>
      <c r="DY50" s="20">
        <v>78252</v>
      </c>
      <c r="DZ50" s="20">
        <v>5581864</v>
      </c>
      <c r="EA50" s="20">
        <v>4291088</v>
      </c>
      <c r="EB50" s="20">
        <v>794910</v>
      </c>
      <c r="EC50" s="20">
        <v>1563112</v>
      </c>
      <c r="ED50" s="20">
        <v>659835</v>
      </c>
      <c r="EE50" s="20">
        <v>63415</v>
      </c>
      <c r="EF50" s="20">
        <v>242628</v>
      </c>
      <c r="EG50" s="20">
        <v>6820927.6399999997</v>
      </c>
      <c r="EH50" s="20">
        <v>27113160</v>
      </c>
      <c r="EI50" s="20">
        <v>22307396</v>
      </c>
      <c r="EJ50" s="20">
        <v>974974224.78999996</v>
      </c>
      <c r="EK50" s="20">
        <f t="shared" ref="EK50:EV50" si="27">SUM(EK15,EK22,EK29,EK36,EK43)</f>
        <v>11985587.729999999</v>
      </c>
      <c r="EL50" s="20">
        <f t="shared" si="27"/>
        <v>54972540.020000003</v>
      </c>
      <c r="EM50" s="20">
        <f t="shared" si="27"/>
        <v>13103151.989999998</v>
      </c>
      <c r="EN50" s="20">
        <f t="shared" si="27"/>
        <v>1588149.2900000003</v>
      </c>
      <c r="EO50" s="20">
        <f t="shared" si="27"/>
        <v>8741055.7300000004</v>
      </c>
      <c r="EP50" s="20">
        <f t="shared" si="27"/>
        <v>34598639.230000012</v>
      </c>
      <c r="EQ50" s="20">
        <f t="shared" si="27"/>
        <v>24987269.939999998</v>
      </c>
      <c r="ER50" s="20">
        <f t="shared" si="27"/>
        <v>780475.82</v>
      </c>
      <c r="ES50" s="20">
        <f t="shared" si="27"/>
        <v>1866477.1500000001</v>
      </c>
      <c r="ET50" s="20">
        <f t="shared" si="27"/>
        <v>17087088.460000001</v>
      </c>
      <c r="EU50" s="20">
        <f t="shared" si="27"/>
        <v>2523321.0099999998</v>
      </c>
      <c r="EV50" s="20">
        <f t="shared" si="27"/>
        <v>2705431.85</v>
      </c>
      <c r="EW50" s="2"/>
    </row>
    <row r="51" spans="1:153" ht="12" customHeight="1">
      <c r="A51" s="1" t="s">
        <v>342</v>
      </c>
      <c r="B51" s="27">
        <v>1649</v>
      </c>
      <c r="C51" s="27">
        <v>1649</v>
      </c>
      <c r="D51" s="1" t="s">
        <v>5</v>
      </c>
      <c r="E51" s="27">
        <v>1647</v>
      </c>
      <c r="F51" s="20">
        <f>SUM(F16,F23,F30,F37,F44)</f>
        <v>2865</v>
      </c>
      <c r="G51" s="27">
        <v>1147</v>
      </c>
      <c r="H51" s="27">
        <v>32</v>
      </c>
      <c r="I51" s="27">
        <v>50</v>
      </c>
      <c r="J51" s="27">
        <v>0</v>
      </c>
      <c r="K51" s="27">
        <v>0</v>
      </c>
      <c r="L51" s="27" t="s">
        <v>5</v>
      </c>
      <c r="M51" s="21" t="s">
        <v>5</v>
      </c>
      <c r="N51" s="27">
        <v>1498</v>
      </c>
      <c r="O51" s="1" t="s">
        <v>5</v>
      </c>
      <c r="P51" s="27">
        <v>1486</v>
      </c>
      <c r="Q51" s="20">
        <f>SUM(Q16,Q23,Q30,Q37,Q44)</f>
        <v>2096</v>
      </c>
      <c r="R51" s="27">
        <v>741</v>
      </c>
      <c r="S51" s="27">
        <v>11</v>
      </c>
      <c r="T51" s="27">
        <v>9</v>
      </c>
      <c r="U51" s="27">
        <v>63</v>
      </c>
      <c r="V51" s="27">
        <v>4</v>
      </c>
      <c r="W51" s="27" t="s">
        <v>5</v>
      </c>
      <c r="X51" s="21" t="s">
        <v>5</v>
      </c>
      <c r="Y51" s="27">
        <v>84726178</v>
      </c>
      <c r="Z51" s="27" t="s">
        <v>334</v>
      </c>
      <c r="AA51" s="27">
        <v>82828815</v>
      </c>
      <c r="AB51" s="27" t="s">
        <v>334</v>
      </c>
      <c r="AC51" s="20">
        <f t="shared" ref="AC51:BH51" si="28">SUM(AC16,AC23,AC30,AC37,AC44)</f>
        <v>76809</v>
      </c>
      <c r="AD51" s="20">
        <f t="shared" si="28"/>
        <v>49285959461.729996</v>
      </c>
      <c r="AE51" s="20">
        <f t="shared" si="28"/>
        <v>47525664158.220001</v>
      </c>
      <c r="AF51" s="20">
        <f t="shared" si="28"/>
        <v>25859646176.700001</v>
      </c>
      <c r="AG51" s="20">
        <f t="shared" si="28"/>
        <v>18921815880.459999</v>
      </c>
      <c r="AH51" s="20">
        <f t="shared" si="28"/>
        <v>2694561835.7600002</v>
      </c>
      <c r="AI51" s="20">
        <f t="shared" si="28"/>
        <v>49640265.299999997</v>
      </c>
      <c r="AJ51" s="20">
        <f t="shared" si="28"/>
        <v>1760295300.21</v>
      </c>
      <c r="AK51" s="20">
        <f t="shared" si="28"/>
        <v>45047843650.650002</v>
      </c>
      <c r="AL51" s="20">
        <f t="shared" si="28"/>
        <v>14292916293.360001</v>
      </c>
      <c r="AM51" s="20">
        <f t="shared" si="28"/>
        <v>44730282497.970001</v>
      </c>
      <c r="AN51" s="20">
        <f t="shared" si="28"/>
        <v>31529558883.519997</v>
      </c>
      <c r="AO51" s="20">
        <f t="shared" si="28"/>
        <v>9727529455.0300007</v>
      </c>
      <c r="AP51" s="20">
        <f t="shared" si="28"/>
        <v>1474516243.1900001</v>
      </c>
      <c r="AQ51" s="20">
        <f t="shared" si="28"/>
        <v>4748431923</v>
      </c>
      <c r="AR51" s="20">
        <f t="shared" si="28"/>
        <v>5799639031.7200003</v>
      </c>
      <c r="AS51" s="20">
        <f t="shared" si="28"/>
        <v>2473874964.9300003</v>
      </c>
      <c r="AT51" s="20">
        <f t="shared" si="28"/>
        <v>34202004.799999997</v>
      </c>
      <c r="AU51" s="20">
        <f t="shared" si="28"/>
        <v>3317103814.3600001</v>
      </c>
      <c r="AV51" s="20">
        <f t="shared" si="28"/>
        <v>3954261444.3899999</v>
      </c>
      <c r="AW51" s="20">
        <f t="shared" si="28"/>
        <v>2968032279.0300007</v>
      </c>
      <c r="AX51" s="20">
        <f t="shared" si="28"/>
        <v>166520647.04999998</v>
      </c>
      <c r="AY51" s="20">
        <f t="shared" si="28"/>
        <v>3134552926.0799999</v>
      </c>
      <c r="AZ51" s="20">
        <f t="shared" si="28"/>
        <v>6449949484.0199995</v>
      </c>
      <c r="BA51" s="20">
        <f t="shared" si="28"/>
        <v>1798509185.75</v>
      </c>
      <c r="BB51" s="20">
        <f t="shared" si="28"/>
        <v>1817712016.77</v>
      </c>
      <c r="BC51" s="20">
        <f t="shared" si="28"/>
        <v>2300948874.8099999</v>
      </c>
      <c r="BD51" s="20">
        <f t="shared" si="28"/>
        <v>5435501800.8899994</v>
      </c>
      <c r="BE51" s="20">
        <f t="shared" si="28"/>
        <v>578006201.61000001</v>
      </c>
      <c r="BF51" s="20">
        <f t="shared" si="28"/>
        <v>4531479462.6399994</v>
      </c>
      <c r="BG51" s="20">
        <f t="shared" si="28"/>
        <v>4600609878.3499994</v>
      </c>
      <c r="BH51" s="20">
        <f t="shared" si="28"/>
        <v>995098887.80000019</v>
      </c>
      <c r="BI51" s="20">
        <f t="shared" ref="BI51:CN51" si="29">SUM(BI16,BI23,BI30,BI37,BI44)</f>
        <v>7311217975.3100004</v>
      </c>
      <c r="BJ51" s="20">
        <f t="shared" si="29"/>
        <v>3340921967.2400002</v>
      </c>
      <c r="BK51" s="20">
        <f t="shared" si="29"/>
        <v>53054487.850000001</v>
      </c>
      <c r="BL51" s="20">
        <f t="shared" si="29"/>
        <v>10705194430.4</v>
      </c>
      <c r="BM51" s="20">
        <f t="shared" si="29"/>
        <v>8006814.54</v>
      </c>
      <c r="BN51" s="20">
        <f t="shared" si="29"/>
        <v>93487777.419999987</v>
      </c>
      <c r="BO51" s="20">
        <f t="shared" si="29"/>
        <v>165528270.17000002</v>
      </c>
      <c r="BP51" s="20">
        <f t="shared" si="29"/>
        <v>13702647.57</v>
      </c>
      <c r="BQ51" s="20">
        <f t="shared" si="29"/>
        <v>179374327.72</v>
      </c>
      <c r="BR51" s="20">
        <f t="shared" si="29"/>
        <v>58004864.939999998</v>
      </c>
      <c r="BS51" s="20">
        <f t="shared" si="29"/>
        <v>42074947.450000003</v>
      </c>
      <c r="BT51" s="20">
        <f t="shared" si="29"/>
        <v>281503252.25</v>
      </c>
      <c r="BU51" s="20">
        <f t="shared" si="29"/>
        <v>769100.34</v>
      </c>
      <c r="BV51" s="20">
        <f t="shared" si="29"/>
        <v>16562061.26</v>
      </c>
      <c r="BW51" s="20">
        <f t="shared" si="29"/>
        <v>12956865.869999999</v>
      </c>
      <c r="BX51" s="20">
        <f t="shared" si="29"/>
        <v>1237600.24</v>
      </c>
      <c r="BY51" s="20">
        <f t="shared" si="29"/>
        <v>19294542.609999999</v>
      </c>
      <c r="BZ51" s="20">
        <f t="shared" si="29"/>
        <v>0</v>
      </c>
      <c r="CA51" s="20">
        <f t="shared" si="29"/>
        <v>9760368.7400000002</v>
      </c>
      <c r="CB51" s="20">
        <f t="shared" si="29"/>
        <v>28449976.199999999</v>
      </c>
      <c r="CC51" s="20">
        <f t="shared" si="29"/>
        <v>76972471</v>
      </c>
      <c r="CD51" s="47"/>
      <c r="CE51" s="20">
        <f t="shared" si="29"/>
        <v>28359314</v>
      </c>
      <c r="CF51" s="20">
        <f t="shared" si="29"/>
        <v>25820130</v>
      </c>
      <c r="CG51" s="20">
        <f t="shared" si="29"/>
        <v>24241233</v>
      </c>
      <c r="CH51" s="20">
        <f t="shared" si="29"/>
        <v>34390330</v>
      </c>
      <c r="CI51" s="20">
        <f t="shared" si="29"/>
        <v>32643773</v>
      </c>
      <c r="CJ51" s="20">
        <f t="shared" si="29"/>
        <v>31164585</v>
      </c>
      <c r="CK51" s="20">
        <f t="shared" si="29"/>
        <v>29669090</v>
      </c>
      <c r="CL51" s="20">
        <f t="shared" si="29"/>
        <v>8924864.8200000003</v>
      </c>
      <c r="CM51" s="20">
        <f t="shared" si="29"/>
        <v>8050750.7100000009</v>
      </c>
      <c r="CN51" s="20">
        <f t="shared" si="29"/>
        <v>389969.14999999997</v>
      </c>
      <c r="CO51" s="20">
        <f t="shared" ref="CO51:DO51" si="30">SUM(CO16,CO23,CO30,CO37,CO44)</f>
        <v>1428433.1700000002</v>
      </c>
      <c r="CP51" s="20">
        <f t="shared" si="30"/>
        <v>105</v>
      </c>
      <c r="CQ51" s="20">
        <f t="shared" si="30"/>
        <v>1648972.1700000002</v>
      </c>
      <c r="CR51" s="20">
        <f t="shared" si="30"/>
        <v>7290528.4900000002</v>
      </c>
      <c r="CS51" s="20">
        <f t="shared" si="30"/>
        <v>1512571.6500000001</v>
      </c>
      <c r="CT51" s="20">
        <f t="shared" si="30"/>
        <v>8195865.96</v>
      </c>
      <c r="CU51" s="20">
        <f t="shared" si="30"/>
        <v>4460550.2299999995</v>
      </c>
      <c r="CV51" s="20">
        <f t="shared" si="30"/>
        <v>6585727.04</v>
      </c>
      <c r="CW51" s="20">
        <f t="shared" si="30"/>
        <v>7437244.6299999999</v>
      </c>
      <c r="CX51" s="20">
        <f t="shared" si="30"/>
        <v>3762653.6000000006</v>
      </c>
      <c r="CY51" s="20">
        <f t="shared" si="30"/>
        <v>320986.40000000002</v>
      </c>
      <c r="CZ51" s="20">
        <f t="shared" si="30"/>
        <v>6097934.0800000001</v>
      </c>
      <c r="DA51" s="20">
        <f t="shared" si="30"/>
        <v>68537976</v>
      </c>
      <c r="DB51" s="47"/>
      <c r="DC51" s="20">
        <f t="shared" si="30"/>
        <v>23590316</v>
      </c>
      <c r="DD51" s="20">
        <f t="shared" si="30"/>
        <v>21737605</v>
      </c>
      <c r="DE51" s="20">
        <f t="shared" si="30"/>
        <v>28672503</v>
      </c>
      <c r="DF51" s="20">
        <f t="shared" si="30"/>
        <v>26029920</v>
      </c>
      <c r="DG51" s="20">
        <f t="shared" si="30"/>
        <v>3967776.1199999996</v>
      </c>
      <c r="DH51" s="20">
        <f t="shared" si="30"/>
        <v>3107495.37</v>
      </c>
      <c r="DI51" s="20">
        <f t="shared" si="30"/>
        <v>36947.85</v>
      </c>
      <c r="DJ51" s="20">
        <f t="shared" si="30"/>
        <v>27682.839999999997</v>
      </c>
      <c r="DK51" s="20">
        <f t="shared" si="30"/>
        <v>35625.46</v>
      </c>
      <c r="DL51" s="20">
        <f t="shared" si="30"/>
        <v>30332.230000000003</v>
      </c>
      <c r="DM51" s="20">
        <f t="shared" si="30"/>
        <v>4415259.5</v>
      </c>
      <c r="DN51" s="20">
        <f t="shared" si="30"/>
        <v>219713.34</v>
      </c>
      <c r="DO51" s="20">
        <f t="shared" si="30"/>
        <v>1050772.3700000001</v>
      </c>
      <c r="DP51" s="1"/>
      <c r="DQ51" s="20">
        <v>17194</v>
      </c>
      <c r="DR51" s="20">
        <v>250407</v>
      </c>
      <c r="DS51" s="20">
        <v>44845421</v>
      </c>
      <c r="DT51" s="20">
        <v>15134</v>
      </c>
      <c r="DU51" s="20">
        <v>285925.78000000003</v>
      </c>
      <c r="DV51" s="20">
        <v>8007638</v>
      </c>
      <c r="DW51" s="20">
        <v>7309157</v>
      </c>
      <c r="DX51" s="20">
        <v>8845628</v>
      </c>
      <c r="DY51" s="20">
        <v>38801</v>
      </c>
      <c r="DZ51" s="20">
        <v>7436737</v>
      </c>
      <c r="EA51" s="20">
        <v>8551398</v>
      </c>
      <c r="EB51" s="20">
        <v>97257</v>
      </c>
      <c r="EC51" s="20">
        <v>1086708</v>
      </c>
      <c r="ED51" s="20">
        <v>1200762</v>
      </c>
      <c r="EE51" s="20">
        <v>13298</v>
      </c>
      <c r="EF51" s="20">
        <v>504270</v>
      </c>
      <c r="EG51" s="20">
        <v>9808649.6099999994</v>
      </c>
      <c r="EH51" s="20">
        <v>28783831</v>
      </c>
      <c r="EI51" s="20">
        <v>18849089</v>
      </c>
      <c r="EJ51" s="20">
        <v>1204981425.8</v>
      </c>
      <c r="EK51" s="20">
        <f t="shared" ref="EK51:EV51" si="31">SUM(EK16,EK23,EK30,EK37,EK44)</f>
        <v>91664392.590000004</v>
      </c>
      <c r="EL51" s="20">
        <f t="shared" si="31"/>
        <v>369259001.03000003</v>
      </c>
      <c r="EM51" s="20">
        <f t="shared" si="31"/>
        <v>135941610</v>
      </c>
      <c r="EN51" s="20">
        <f t="shared" si="31"/>
        <v>14539073.469999999</v>
      </c>
      <c r="EO51" s="20">
        <f t="shared" si="31"/>
        <v>73762422.719999999</v>
      </c>
      <c r="EP51" s="20">
        <f t="shared" si="31"/>
        <v>163878899.75</v>
      </c>
      <c r="EQ51" s="20">
        <f t="shared" si="31"/>
        <v>190255817.66000003</v>
      </c>
      <c r="ER51" s="20">
        <f t="shared" si="31"/>
        <v>2259.0100000000002</v>
      </c>
      <c r="ES51" s="20">
        <f t="shared" si="31"/>
        <v>19203497.920000002</v>
      </c>
      <c r="ET51" s="20">
        <f t="shared" si="31"/>
        <v>176128887.15000001</v>
      </c>
      <c r="EU51" s="20">
        <f t="shared" si="31"/>
        <v>19592155.649999999</v>
      </c>
      <c r="EV51" s="20">
        <f t="shared" si="31"/>
        <v>33151926.07</v>
      </c>
      <c r="EW51" s="2"/>
    </row>
    <row r="52" spans="1:153" ht="12" customHeight="1">
      <c r="A52" s="1" t="s">
        <v>343</v>
      </c>
      <c r="B52" s="27">
        <v>1177</v>
      </c>
      <c r="C52" s="27">
        <v>1177</v>
      </c>
      <c r="D52" s="1" t="s">
        <v>5</v>
      </c>
      <c r="E52" s="27">
        <v>1177</v>
      </c>
      <c r="F52" s="20">
        <f>SUM(F17,F24,F31,F38,F45)</f>
        <v>2900</v>
      </c>
      <c r="G52" s="27">
        <v>836</v>
      </c>
      <c r="H52" s="27">
        <v>40</v>
      </c>
      <c r="I52" s="27">
        <v>7</v>
      </c>
      <c r="J52" s="27">
        <v>1</v>
      </c>
      <c r="K52" s="27">
        <v>0</v>
      </c>
      <c r="L52" s="27" t="s">
        <v>5</v>
      </c>
      <c r="M52" s="21" t="s">
        <v>5</v>
      </c>
      <c r="N52" s="27">
        <v>444</v>
      </c>
      <c r="O52" s="1" t="s">
        <v>5</v>
      </c>
      <c r="P52" s="27">
        <v>439</v>
      </c>
      <c r="Q52" s="20">
        <f>SUM(Q17,Q24,Q31,Q38,Q45)</f>
        <v>107</v>
      </c>
      <c r="R52" s="27">
        <v>296</v>
      </c>
      <c r="S52" s="27">
        <v>11</v>
      </c>
      <c r="T52" s="27">
        <v>2</v>
      </c>
      <c r="U52" s="27">
        <v>529</v>
      </c>
      <c r="V52" s="27">
        <v>22</v>
      </c>
      <c r="W52" s="27" t="s">
        <v>5</v>
      </c>
      <c r="X52" s="21" t="s">
        <v>5</v>
      </c>
      <c r="Y52" s="27">
        <v>29886270</v>
      </c>
      <c r="Z52" s="27" t="s">
        <v>334</v>
      </c>
      <c r="AA52" s="27">
        <v>23452287</v>
      </c>
      <c r="AB52" s="27" t="s">
        <v>334</v>
      </c>
      <c r="AC52" s="20">
        <f t="shared" ref="AC52:BH52" si="32">SUM(AC17,AC24,AC31,AC38,AC45)</f>
        <v>23852</v>
      </c>
      <c r="AD52" s="20">
        <f t="shared" si="32"/>
        <v>15500024516.019999</v>
      </c>
      <c r="AE52" s="20">
        <f t="shared" si="32"/>
        <v>14982078060.660002</v>
      </c>
      <c r="AF52" s="20">
        <f t="shared" si="32"/>
        <v>11303196526.700001</v>
      </c>
      <c r="AG52" s="20">
        <f t="shared" si="32"/>
        <v>3612193212.1599998</v>
      </c>
      <c r="AH52" s="20">
        <f t="shared" si="32"/>
        <v>66316316.119999997</v>
      </c>
      <c r="AI52" s="20">
        <f t="shared" si="32"/>
        <v>372005.68</v>
      </c>
      <c r="AJ52" s="20">
        <f t="shared" si="32"/>
        <v>517946454.12000006</v>
      </c>
      <c r="AK52" s="20">
        <f t="shared" si="32"/>
        <v>14813215302.18</v>
      </c>
      <c r="AL52" s="20">
        <f t="shared" si="32"/>
        <v>3627440899.5100002</v>
      </c>
      <c r="AM52" s="20">
        <f t="shared" si="32"/>
        <v>13556674314.679998</v>
      </c>
      <c r="AN52" s="20">
        <f t="shared" si="32"/>
        <v>10299254738.52</v>
      </c>
      <c r="AO52" s="20">
        <f t="shared" si="32"/>
        <v>4132108921.54</v>
      </c>
      <c r="AP52" s="20">
        <f t="shared" si="32"/>
        <v>496398930.17999995</v>
      </c>
      <c r="AQ52" s="20">
        <f t="shared" si="32"/>
        <v>1404946086.5699999</v>
      </c>
      <c r="AR52" s="20">
        <f t="shared" si="32"/>
        <v>2145842457.1299999</v>
      </c>
      <c r="AS52" s="20">
        <f t="shared" si="32"/>
        <v>61320600.870000005</v>
      </c>
      <c r="AT52" s="20">
        <f t="shared" si="32"/>
        <v>473900.68</v>
      </c>
      <c r="AU52" s="20">
        <f t="shared" si="32"/>
        <v>1062637211.13</v>
      </c>
      <c r="AV52" s="20">
        <f t="shared" si="32"/>
        <v>995526629.42000008</v>
      </c>
      <c r="AW52" s="20">
        <f t="shared" si="32"/>
        <v>722655230.52999997</v>
      </c>
      <c r="AX52" s="20">
        <f t="shared" si="32"/>
        <v>122184022.15000001</v>
      </c>
      <c r="AY52" s="20">
        <f t="shared" si="32"/>
        <v>844839252.67999995</v>
      </c>
      <c r="AZ52" s="20">
        <f t="shared" si="32"/>
        <v>1123107298.8099999</v>
      </c>
      <c r="BA52" s="20">
        <f t="shared" si="32"/>
        <v>536553617.93000001</v>
      </c>
      <c r="BB52" s="20">
        <f t="shared" si="32"/>
        <v>752919405.70999992</v>
      </c>
      <c r="BC52" s="20">
        <f t="shared" si="32"/>
        <v>649841408.28000009</v>
      </c>
      <c r="BD52" s="20">
        <f t="shared" si="32"/>
        <v>1494680660.96</v>
      </c>
      <c r="BE52" s="20">
        <f t="shared" si="32"/>
        <v>31314561.239999998</v>
      </c>
      <c r="BF52" s="20">
        <f t="shared" si="32"/>
        <v>1690181652.6900001</v>
      </c>
      <c r="BG52" s="20">
        <f t="shared" si="32"/>
        <v>1759672607.24</v>
      </c>
      <c r="BH52" s="20">
        <f t="shared" si="32"/>
        <v>313876099.07999998</v>
      </c>
      <c r="BI52" s="20">
        <f t="shared" ref="BI52:CN52" si="33">SUM(BI17,BI24,BI31,BI38,BI45)</f>
        <v>2388186785.5799999</v>
      </c>
      <c r="BJ52" s="20">
        <f t="shared" si="33"/>
        <v>1329914762.5700002</v>
      </c>
      <c r="BK52" s="20">
        <f t="shared" si="33"/>
        <v>76943372.099999994</v>
      </c>
      <c r="BL52" s="20">
        <f t="shared" si="33"/>
        <v>3795044920.25</v>
      </c>
      <c r="BM52" s="20">
        <f t="shared" si="33"/>
        <v>5492393.7699999996</v>
      </c>
      <c r="BN52" s="20">
        <f t="shared" si="33"/>
        <v>37361411.75</v>
      </c>
      <c r="BO52" s="20">
        <f t="shared" si="33"/>
        <v>21333874.060000002</v>
      </c>
      <c r="BP52" s="20">
        <f t="shared" si="33"/>
        <v>2300720.91</v>
      </c>
      <c r="BQ52" s="20">
        <f t="shared" si="33"/>
        <v>44608496.159999996</v>
      </c>
      <c r="BR52" s="20">
        <f t="shared" si="33"/>
        <v>2461460.77</v>
      </c>
      <c r="BS52" s="20">
        <f t="shared" si="33"/>
        <v>20617327.620000001</v>
      </c>
      <c r="BT52" s="20">
        <f t="shared" si="33"/>
        <v>66270370.490000002</v>
      </c>
      <c r="BU52" s="20">
        <f t="shared" si="33"/>
        <v>73351</v>
      </c>
      <c r="BV52" s="20">
        <f t="shared" si="33"/>
        <v>3597556.57</v>
      </c>
      <c r="BW52" s="20">
        <f t="shared" si="33"/>
        <v>2000</v>
      </c>
      <c r="BX52" s="20">
        <f t="shared" si="33"/>
        <v>118990</v>
      </c>
      <c r="BY52" s="20">
        <f t="shared" si="33"/>
        <v>2822947.92</v>
      </c>
      <c r="BZ52" s="20">
        <f t="shared" si="33"/>
        <v>10000</v>
      </c>
      <c r="CA52" s="20">
        <f t="shared" si="33"/>
        <v>307000</v>
      </c>
      <c r="CB52" s="20">
        <f t="shared" si="33"/>
        <v>3069947.92</v>
      </c>
      <c r="CC52" s="20">
        <f t="shared" si="33"/>
        <v>27388518</v>
      </c>
      <c r="CD52" s="47"/>
      <c r="CE52" s="20">
        <f t="shared" si="33"/>
        <v>9551139</v>
      </c>
      <c r="CF52" s="20">
        <f t="shared" si="33"/>
        <v>8719167</v>
      </c>
      <c r="CG52" s="20">
        <f t="shared" si="33"/>
        <v>8620704</v>
      </c>
      <c r="CH52" s="20">
        <f t="shared" si="33"/>
        <v>11981337</v>
      </c>
      <c r="CI52" s="20">
        <f t="shared" si="33"/>
        <v>11873902</v>
      </c>
      <c r="CJ52" s="20">
        <f t="shared" si="33"/>
        <v>10708812</v>
      </c>
      <c r="CK52" s="20">
        <f t="shared" si="33"/>
        <v>10563819</v>
      </c>
      <c r="CL52" s="20">
        <f t="shared" si="33"/>
        <v>2494203.6800000002</v>
      </c>
      <c r="CM52" s="20">
        <f t="shared" si="33"/>
        <v>2182809.1199999996</v>
      </c>
      <c r="CN52" s="20">
        <f t="shared" si="33"/>
        <v>93443.57</v>
      </c>
      <c r="CO52" s="20">
        <f t="shared" ref="CO52:DO52" si="34">SUM(CO17,CO24,CO31,CO38,CO45)</f>
        <v>45699.759999999995</v>
      </c>
      <c r="CP52" s="20">
        <f t="shared" si="34"/>
        <v>2711</v>
      </c>
      <c r="CQ52" s="20">
        <f t="shared" si="34"/>
        <v>42909.23</v>
      </c>
      <c r="CR52" s="20">
        <f t="shared" si="34"/>
        <v>2104873.6</v>
      </c>
      <c r="CS52" s="20">
        <f t="shared" si="34"/>
        <v>377677.1</v>
      </c>
      <c r="CT52" s="20">
        <f t="shared" si="34"/>
        <v>2421414.81</v>
      </c>
      <c r="CU52" s="20">
        <f t="shared" si="34"/>
        <v>1447559.68</v>
      </c>
      <c r="CV52" s="20">
        <f t="shared" si="34"/>
        <v>1549864.74</v>
      </c>
      <c r="CW52" s="20">
        <f t="shared" si="34"/>
        <v>1551308.82</v>
      </c>
      <c r="CX52" s="20">
        <f t="shared" si="34"/>
        <v>1209273.75</v>
      </c>
      <c r="CY52" s="20">
        <f t="shared" si="34"/>
        <v>165266.03</v>
      </c>
      <c r="CZ52" s="20">
        <f t="shared" si="34"/>
        <v>1719147.2399999998</v>
      </c>
      <c r="DA52" s="20">
        <f t="shared" si="34"/>
        <v>14857404</v>
      </c>
      <c r="DB52" s="47"/>
      <c r="DC52" s="20">
        <f t="shared" si="34"/>
        <v>4308546</v>
      </c>
      <c r="DD52" s="20">
        <f t="shared" si="34"/>
        <v>3995733</v>
      </c>
      <c r="DE52" s="20">
        <f t="shared" si="34"/>
        <v>6107703</v>
      </c>
      <c r="DF52" s="20">
        <f t="shared" si="34"/>
        <v>5449361</v>
      </c>
      <c r="DG52" s="20">
        <f t="shared" si="34"/>
        <v>741530.92999999993</v>
      </c>
      <c r="DH52" s="20">
        <f t="shared" si="34"/>
        <v>688009.36</v>
      </c>
      <c r="DI52" s="20">
        <f t="shared" si="34"/>
        <v>431.08</v>
      </c>
      <c r="DJ52" s="20">
        <f t="shared" si="34"/>
        <v>0.79</v>
      </c>
      <c r="DK52" s="20">
        <f t="shared" si="34"/>
        <v>4203.7400000000007</v>
      </c>
      <c r="DL52" s="20">
        <f t="shared" si="34"/>
        <v>4120.93</v>
      </c>
      <c r="DM52" s="20">
        <f t="shared" si="34"/>
        <v>694958.18</v>
      </c>
      <c r="DN52" s="20">
        <f t="shared" si="34"/>
        <v>63083.76</v>
      </c>
      <c r="DO52" s="20">
        <f t="shared" si="34"/>
        <v>221297</v>
      </c>
      <c r="DP52" s="1"/>
      <c r="DQ52" s="20">
        <v>9168</v>
      </c>
      <c r="DR52" s="20">
        <v>90813</v>
      </c>
      <c r="DS52" s="20">
        <v>22250607</v>
      </c>
      <c r="DT52" s="20">
        <v>8108</v>
      </c>
      <c r="DU52" s="20">
        <v>30536.5</v>
      </c>
      <c r="DV52" s="20">
        <v>2196040</v>
      </c>
      <c r="DW52" s="20">
        <v>2442958</v>
      </c>
      <c r="DX52" s="20">
        <v>2841433</v>
      </c>
      <c r="DY52" s="20">
        <v>29170</v>
      </c>
      <c r="DZ52" s="20">
        <v>2430983</v>
      </c>
      <c r="EA52" s="20">
        <v>2836680</v>
      </c>
      <c r="EB52" s="20">
        <v>35357</v>
      </c>
      <c r="EC52" s="20">
        <v>508752</v>
      </c>
      <c r="ED52" s="20">
        <v>529835</v>
      </c>
      <c r="EE52" s="20">
        <v>5532</v>
      </c>
      <c r="EF52" s="20">
        <v>41041</v>
      </c>
      <c r="EG52" s="20">
        <v>454548.63</v>
      </c>
      <c r="EH52" s="20">
        <v>15113858</v>
      </c>
      <c r="EI52" s="20">
        <v>11953043</v>
      </c>
      <c r="EJ52" s="20">
        <v>721496746.73000002</v>
      </c>
      <c r="EK52" s="20">
        <f t="shared" ref="EK52:EV52" si="35">SUM(EK17,EK24,EK31,EK38,EK45)</f>
        <v>118602424.79000001</v>
      </c>
      <c r="EL52" s="20">
        <f t="shared" si="35"/>
        <v>467823502.48000002</v>
      </c>
      <c r="EM52" s="20">
        <f t="shared" si="35"/>
        <v>445067999.19</v>
      </c>
      <c r="EN52" s="20">
        <f t="shared" si="35"/>
        <v>-20274871.810000002</v>
      </c>
      <c r="EO52" s="20">
        <f t="shared" si="35"/>
        <v>58393169.160000004</v>
      </c>
      <c r="EP52" s="20">
        <f t="shared" si="35"/>
        <v>-35636613.460000001</v>
      </c>
      <c r="EQ52" s="20">
        <f t="shared" si="35"/>
        <v>103821690.66999999</v>
      </c>
      <c r="ER52" s="20">
        <f t="shared" si="35"/>
        <v>18268</v>
      </c>
      <c r="ES52" s="20">
        <f t="shared" si="35"/>
        <v>28773747.439999998</v>
      </c>
      <c r="ET52" s="20">
        <f t="shared" si="35"/>
        <v>328428074.12</v>
      </c>
      <c r="EU52" s="20">
        <f t="shared" si="35"/>
        <v>-7502684.4399999995</v>
      </c>
      <c r="EV52" s="20">
        <f t="shared" si="35"/>
        <v>41445413.230000004</v>
      </c>
      <c r="EW52" s="2"/>
    </row>
    <row r="53" spans="1:153" ht="12" customHeight="1">
      <c r="A53" s="1" t="s">
        <v>332</v>
      </c>
      <c r="B53" s="27">
        <v>451</v>
      </c>
      <c r="C53" s="27">
        <v>451</v>
      </c>
      <c r="D53" s="1" t="s">
        <v>5</v>
      </c>
      <c r="E53" s="27">
        <v>451</v>
      </c>
      <c r="F53" s="20">
        <f>SUM(F18,F25,F32,F39,F46)</f>
        <v>401</v>
      </c>
      <c r="G53" s="27">
        <v>230</v>
      </c>
      <c r="H53" s="27">
        <v>106</v>
      </c>
      <c r="I53" s="27">
        <v>0</v>
      </c>
      <c r="J53" s="27">
        <v>0</v>
      </c>
      <c r="K53" s="27">
        <v>0</v>
      </c>
      <c r="L53" s="27" t="s">
        <v>5</v>
      </c>
      <c r="M53" s="21" t="s">
        <v>5</v>
      </c>
      <c r="N53" s="27">
        <v>195</v>
      </c>
      <c r="O53" s="1" t="s">
        <v>5</v>
      </c>
      <c r="P53" s="27">
        <v>195</v>
      </c>
      <c r="Q53" s="20">
        <f>SUM(Q18,Q25,Q32,Q39,Q46)</f>
        <v>14</v>
      </c>
      <c r="R53" s="27">
        <v>120</v>
      </c>
      <c r="S53" s="27">
        <v>38</v>
      </c>
      <c r="T53" s="27">
        <v>0</v>
      </c>
      <c r="U53" s="27">
        <v>70</v>
      </c>
      <c r="V53" s="27">
        <v>68</v>
      </c>
      <c r="W53" s="27" t="s">
        <v>5</v>
      </c>
      <c r="X53" s="21" t="s">
        <v>5</v>
      </c>
      <c r="Y53" s="27">
        <v>16149938</v>
      </c>
      <c r="Z53" s="27" t="s">
        <v>334</v>
      </c>
      <c r="AA53" s="27">
        <v>14092915</v>
      </c>
      <c r="AB53" s="27" t="s">
        <v>334</v>
      </c>
      <c r="AC53" s="20">
        <f t="shared" ref="AC53:BH53" si="36">SUM(AC18,AC25,AC32,AC39,AC46)</f>
        <v>14150</v>
      </c>
      <c r="AD53" s="20">
        <f t="shared" si="36"/>
        <v>8171488792.6700001</v>
      </c>
      <c r="AE53" s="20">
        <f t="shared" si="36"/>
        <v>7669914555.5499992</v>
      </c>
      <c r="AF53" s="20">
        <f t="shared" si="36"/>
        <v>4934922866.8299999</v>
      </c>
      <c r="AG53" s="20">
        <f t="shared" si="36"/>
        <v>2721609780.46</v>
      </c>
      <c r="AH53" s="20">
        <f t="shared" si="36"/>
        <v>5935853.21</v>
      </c>
      <c r="AI53" s="20">
        <f t="shared" si="36"/>
        <v>7446055.0499999998</v>
      </c>
      <c r="AJ53" s="20">
        <f t="shared" si="36"/>
        <v>501574234.88999999</v>
      </c>
      <c r="AK53" s="20">
        <f t="shared" si="36"/>
        <v>7873313110.96</v>
      </c>
      <c r="AL53" s="20">
        <f t="shared" si="36"/>
        <v>2021838525.05</v>
      </c>
      <c r="AM53" s="20">
        <f t="shared" si="36"/>
        <v>6979081623.7200012</v>
      </c>
      <c r="AN53" s="20">
        <f t="shared" si="36"/>
        <v>5657458105.8699999</v>
      </c>
      <c r="AO53" s="20">
        <f t="shared" si="36"/>
        <v>2178760878.1499996</v>
      </c>
      <c r="AP53" s="20">
        <f t="shared" si="36"/>
        <v>148838348.84999999</v>
      </c>
      <c r="AQ53" s="20">
        <f t="shared" si="36"/>
        <v>782214368.10000002</v>
      </c>
      <c r="AR53" s="20">
        <f t="shared" si="36"/>
        <v>852472278.42999995</v>
      </c>
      <c r="AS53" s="20">
        <f t="shared" si="36"/>
        <v>30239466.249999996</v>
      </c>
      <c r="AT53" s="20">
        <f t="shared" si="36"/>
        <v>0</v>
      </c>
      <c r="AU53" s="20">
        <f t="shared" si="36"/>
        <v>504380064.77000004</v>
      </c>
      <c r="AV53" s="20">
        <f t="shared" si="36"/>
        <v>1160552700.72</v>
      </c>
      <c r="AW53" s="20">
        <f t="shared" si="36"/>
        <v>401640082.49000001</v>
      </c>
      <c r="AX53" s="20">
        <f t="shared" si="36"/>
        <v>25312322.299999997</v>
      </c>
      <c r="AY53" s="20">
        <f t="shared" si="36"/>
        <v>426952404.78999996</v>
      </c>
      <c r="AZ53" s="20">
        <f t="shared" si="36"/>
        <v>585433581.31999993</v>
      </c>
      <c r="BA53" s="20">
        <f t="shared" si="36"/>
        <v>327301601.56999999</v>
      </c>
      <c r="BB53" s="20">
        <f t="shared" si="36"/>
        <v>-18064070.270000011</v>
      </c>
      <c r="BC53" s="20">
        <f t="shared" si="36"/>
        <v>875474728.24000001</v>
      </c>
      <c r="BD53" s="20">
        <f t="shared" si="36"/>
        <v>1302427133.0300002</v>
      </c>
      <c r="BE53" s="20">
        <f t="shared" si="36"/>
        <v>133894542.89</v>
      </c>
      <c r="BF53" s="20">
        <f t="shared" si="36"/>
        <v>600304752.80000007</v>
      </c>
      <c r="BG53" s="20">
        <f t="shared" si="36"/>
        <v>1233461305.79</v>
      </c>
      <c r="BH53" s="20">
        <f t="shared" si="36"/>
        <v>291160983.13</v>
      </c>
      <c r="BI53" s="20">
        <f t="shared" ref="BI53:CN53" si="37">SUM(BI18,BI25,BI32,BI39,BI46)</f>
        <v>1418102279.6300001</v>
      </c>
      <c r="BJ53" s="20">
        <f t="shared" si="37"/>
        <v>762129074.55999994</v>
      </c>
      <c r="BK53" s="20">
        <f t="shared" si="37"/>
        <v>78590230.420000002</v>
      </c>
      <c r="BL53" s="20">
        <f t="shared" si="37"/>
        <v>2258821584.6100001</v>
      </c>
      <c r="BM53" s="20">
        <f t="shared" si="37"/>
        <v>1480041.86</v>
      </c>
      <c r="BN53" s="20">
        <f t="shared" si="37"/>
        <v>21533119.710000001</v>
      </c>
      <c r="BO53" s="20">
        <f t="shared" si="37"/>
        <v>6843177.8399999999</v>
      </c>
      <c r="BP53" s="20">
        <f t="shared" si="37"/>
        <v>2646382.1800000002</v>
      </c>
      <c r="BQ53" s="20">
        <f t="shared" si="37"/>
        <v>29482077.789999999</v>
      </c>
      <c r="BR53" s="20">
        <f t="shared" si="37"/>
        <v>717202.03</v>
      </c>
      <c r="BS53" s="20">
        <f t="shared" si="37"/>
        <v>2303441.77</v>
      </c>
      <c r="BT53" s="20">
        <f t="shared" si="37"/>
        <v>24897337.829999998</v>
      </c>
      <c r="BU53" s="20">
        <f t="shared" si="37"/>
        <v>247482</v>
      </c>
      <c r="BV53" s="20">
        <f t="shared" si="37"/>
        <v>6665963.1299999999</v>
      </c>
      <c r="BW53" s="20">
        <f t="shared" si="37"/>
        <v>6958674.9699999997</v>
      </c>
      <c r="BX53" s="20">
        <f t="shared" si="37"/>
        <v>297367.40000000002</v>
      </c>
      <c r="BY53" s="20">
        <f t="shared" si="37"/>
        <v>0</v>
      </c>
      <c r="BZ53" s="20">
        <f t="shared" si="37"/>
        <v>687539.24</v>
      </c>
      <c r="CA53" s="20">
        <f t="shared" si="37"/>
        <v>6958674.9699999997</v>
      </c>
      <c r="CB53" s="20">
        <f t="shared" si="37"/>
        <v>14169487.5</v>
      </c>
      <c r="CC53" s="20">
        <f t="shared" si="37"/>
        <v>14504433</v>
      </c>
      <c r="CD53" s="47"/>
      <c r="CE53" s="20">
        <f t="shared" si="37"/>
        <v>5828577</v>
      </c>
      <c r="CF53" s="20">
        <f t="shared" si="37"/>
        <v>5270885</v>
      </c>
      <c r="CG53" s="20">
        <f t="shared" si="37"/>
        <v>5148408</v>
      </c>
      <c r="CH53" s="20">
        <f t="shared" si="37"/>
        <v>6113004</v>
      </c>
      <c r="CI53" s="20">
        <f t="shared" si="37"/>
        <v>5949120</v>
      </c>
      <c r="CJ53" s="20">
        <f t="shared" si="37"/>
        <v>5526096</v>
      </c>
      <c r="CK53" s="20">
        <f t="shared" si="37"/>
        <v>5360438</v>
      </c>
      <c r="CL53" s="20">
        <f t="shared" si="37"/>
        <v>1319481.3699999999</v>
      </c>
      <c r="CM53" s="20">
        <f t="shared" si="37"/>
        <v>1173913.25</v>
      </c>
      <c r="CN53" s="20">
        <f t="shared" si="37"/>
        <v>55094.29</v>
      </c>
      <c r="CO53" s="20">
        <f t="shared" ref="CO53:DO53" si="38">SUM(CO18,CO25,CO32,CO39,CO46)</f>
        <v>5613.5</v>
      </c>
      <c r="CP53" s="20">
        <f t="shared" si="38"/>
        <v>831.73</v>
      </c>
      <c r="CQ53" s="20">
        <f t="shared" si="38"/>
        <v>1025.51</v>
      </c>
      <c r="CR53" s="20">
        <f t="shared" si="38"/>
        <v>943786.45</v>
      </c>
      <c r="CS53" s="20">
        <f t="shared" si="38"/>
        <v>363521.68999999994</v>
      </c>
      <c r="CT53" s="20">
        <f t="shared" si="38"/>
        <v>1021754.9</v>
      </c>
      <c r="CU53" s="20">
        <f t="shared" si="38"/>
        <v>774893.28</v>
      </c>
      <c r="CV53" s="20">
        <f t="shared" si="38"/>
        <v>824449.7</v>
      </c>
      <c r="CW53" s="20">
        <f t="shared" si="38"/>
        <v>862469.79</v>
      </c>
      <c r="CX53" s="20">
        <f t="shared" si="38"/>
        <v>662091.17999999993</v>
      </c>
      <c r="CY53" s="20">
        <f t="shared" si="38"/>
        <v>81288.67</v>
      </c>
      <c r="CZ53" s="20">
        <f t="shared" si="38"/>
        <v>984394.32</v>
      </c>
      <c r="DA53" s="20">
        <f t="shared" si="38"/>
        <v>10065616</v>
      </c>
      <c r="DB53" s="47"/>
      <c r="DC53" s="20">
        <f t="shared" si="38"/>
        <v>3293743</v>
      </c>
      <c r="DD53" s="20">
        <f t="shared" si="38"/>
        <v>3109006</v>
      </c>
      <c r="DE53" s="20">
        <f t="shared" si="38"/>
        <v>3826878</v>
      </c>
      <c r="DF53" s="20">
        <f t="shared" si="38"/>
        <v>3461955</v>
      </c>
      <c r="DG53" s="20">
        <f t="shared" si="38"/>
        <v>482374.16000000003</v>
      </c>
      <c r="DH53" s="20">
        <f t="shared" si="38"/>
        <v>454758.99</v>
      </c>
      <c r="DI53" s="20">
        <f t="shared" si="38"/>
        <v>0</v>
      </c>
      <c r="DJ53" s="20">
        <f t="shared" si="38"/>
        <v>0</v>
      </c>
      <c r="DK53" s="20">
        <f t="shared" si="38"/>
        <v>1234.8399999999999</v>
      </c>
      <c r="DL53" s="20">
        <f t="shared" si="38"/>
        <v>1234.8399999999999</v>
      </c>
      <c r="DM53" s="20">
        <f t="shared" si="38"/>
        <v>502648.69</v>
      </c>
      <c r="DN53" s="20">
        <f t="shared" si="38"/>
        <v>39546.870000000003</v>
      </c>
      <c r="DO53" s="20">
        <f t="shared" si="38"/>
        <v>133854.82999999999</v>
      </c>
      <c r="DP53" s="1"/>
      <c r="DQ53" s="20">
        <v>6039</v>
      </c>
      <c r="DR53" s="20">
        <v>82524</v>
      </c>
      <c r="DS53" s="20">
        <v>20910406</v>
      </c>
      <c r="DT53" s="20">
        <v>15146</v>
      </c>
      <c r="DU53" s="20">
        <v>1208279.1499999999</v>
      </c>
      <c r="DV53" s="20">
        <v>12961949</v>
      </c>
      <c r="DW53" s="20">
        <v>717083</v>
      </c>
      <c r="DX53" s="20">
        <v>839073</v>
      </c>
      <c r="DY53" s="20">
        <v>13486</v>
      </c>
      <c r="DZ53" s="20">
        <v>731090</v>
      </c>
      <c r="EA53" s="20">
        <v>834030</v>
      </c>
      <c r="EB53" s="20">
        <v>38004</v>
      </c>
      <c r="EC53" s="20">
        <v>314239</v>
      </c>
      <c r="ED53" s="20">
        <v>281647</v>
      </c>
      <c r="EE53" s="20">
        <v>6036</v>
      </c>
      <c r="EF53" s="20">
        <v>77941</v>
      </c>
      <c r="EG53" s="20">
        <v>570206.06000000006</v>
      </c>
      <c r="EH53" s="20">
        <v>9505588</v>
      </c>
      <c r="EI53" s="20">
        <v>8826339</v>
      </c>
      <c r="EJ53" s="20">
        <v>375717787.01999998</v>
      </c>
      <c r="EK53" s="20">
        <f t="shared" ref="EK53:EV53" si="39">SUM(EK18,EK25,EK32,EK39,EK46)</f>
        <v>15410287.48</v>
      </c>
      <c r="EL53" s="20">
        <f t="shared" si="39"/>
        <v>43516665.75</v>
      </c>
      <c r="EM53" s="20">
        <f t="shared" si="39"/>
        <v>6929543.4000000004</v>
      </c>
      <c r="EN53" s="20">
        <f t="shared" si="39"/>
        <v>7791408.1299999999</v>
      </c>
      <c r="EO53" s="20">
        <f t="shared" si="39"/>
        <v>3866142.9499999997</v>
      </c>
      <c r="EP53" s="20">
        <f t="shared" si="39"/>
        <v>37881927.340000004</v>
      </c>
      <c r="EQ53" s="20">
        <f t="shared" si="39"/>
        <v>17631373.530000001</v>
      </c>
      <c r="ER53" s="20">
        <f t="shared" si="39"/>
        <v>27613.67</v>
      </c>
      <c r="ES53" s="20">
        <f t="shared" si="39"/>
        <v>9853006.1500000004</v>
      </c>
      <c r="ET53" s="20">
        <f t="shared" si="39"/>
        <v>5973421.0200000005</v>
      </c>
      <c r="EU53" s="20">
        <f t="shared" si="39"/>
        <v>9226367.370000001</v>
      </c>
      <c r="EV53" s="20">
        <f t="shared" si="39"/>
        <v>10934448.610000001</v>
      </c>
      <c r="EW53" s="2"/>
    </row>
    <row r="54" spans="1:153" ht="12" customHeight="1">
      <c r="A54" s="18" t="s">
        <v>344</v>
      </c>
      <c r="B54" s="24">
        <v>5424</v>
      </c>
      <c r="C54" s="24">
        <v>5424</v>
      </c>
      <c r="D54" s="18" t="s">
        <v>5</v>
      </c>
      <c r="E54" s="24">
        <v>5417</v>
      </c>
      <c r="F54" s="25">
        <f>SUM(F49,F50,F51,F52,F53)</f>
        <v>17850</v>
      </c>
      <c r="G54" s="24">
        <v>3583</v>
      </c>
      <c r="H54" s="24">
        <v>540</v>
      </c>
      <c r="I54" s="24">
        <v>355</v>
      </c>
      <c r="J54" s="24">
        <v>1</v>
      </c>
      <c r="K54" s="24">
        <v>0</v>
      </c>
      <c r="L54" s="24" t="s">
        <v>5</v>
      </c>
      <c r="M54" s="26" t="s">
        <v>5</v>
      </c>
      <c r="N54" s="24">
        <v>2902</v>
      </c>
      <c r="O54" s="18" t="s">
        <v>5</v>
      </c>
      <c r="P54" s="24">
        <v>2866</v>
      </c>
      <c r="Q54" s="25">
        <f>SUM(Q49,Q50,Q51,Q52,Q53)</f>
        <v>2805</v>
      </c>
      <c r="R54" s="24">
        <v>1503</v>
      </c>
      <c r="S54" s="24">
        <v>110</v>
      </c>
      <c r="T54" s="24">
        <v>41</v>
      </c>
      <c r="U54" s="24">
        <v>1478</v>
      </c>
      <c r="V54" s="24">
        <v>300</v>
      </c>
      <c r="W54" s="24" t="s">
        <v>5</v>
      </c>
      <c r="X54" s="26" t="s">
        <v>5</v>
      </c>
      <c r="Y54" s="24">
        <v>201425449</v>
      </c>
      <c r="Z54" s="24" t="s">
        <v>334</v>
      </c>
      <c r="AA54" s="24">
        <v>168481212</v>
      </c>
      <c r="AB54" s="24" t="s">
        <v>334</v>
      </c>
      <c r="AC54" s="25">
        <f t="shared" ref="AC54:BH54" si="40">SUM(AC49,AC50,AC51,AC52,AC53)</f>
        <v>155930</v>
      </c>
      <c r="AD54" s="25">
        <f t="shared" si="40"/>
        <v>90269849534.009995</v>
      </c>
      <c r="AE54" s="25">
        <f t="shared" si="40"/>
        <v>86638149743.919998</v>
      </c>
      <c r="AF54" s="25">
        <f t="shared" si="40"/>
        <v>54632875924.449997</v>
      </c>
      <c r="AG54" s="25">
        <f t="shared" si="40"/>
        <v>28925496491.809998</v>
      </c>
      <c r="AH54" s="25">
        <f t="shared" si="40"/>
        <v>3003367884.3400002</v>
      </c>
      <c r="AI54" s="25">
        <f t="shared" si="40"/>
        <v>76409443.320000008</v>
      </c>
      <c r="AJ54" s="25">
        <f t="shared" si="40"/>
        <v>3631699781.6799998</v>
      </c>
      <c r="AK54" s="25">
        <f t="shared" si="40"/>
        <v>83313841508.050003</v>
      </c>
      <c r="AL54" s="25">
        <f t="shared" si="40"/>
        <v>38119846298.240005</v>
      </c>
      <c r="AM54" s="25">
        <f t="shared" si="40"/>
        <v>83386065737.080002</v>
      </c>
      <c r="AN54" s="25">
        <f t="shared" si="40"/>
        <v>61435640241.980003</v>
      </c>
      <c r="AO54" s="25">
        <f t="shared" si="40"/>
        <v>20634107812.410004</v>
      </c>
      <c r="AP54" s="25">
        <f t="shared" si="40"/>
        <v>2878965227.4699998</v>
      </c>
      <c r="AQ54" s="25">
        <f t="shared" si="40"/>
        <v>9162143435.1100006</v>
      </c>
      <c r="AR54" s="25">
        <f t="shared" si="40"/>
        <v>12228087772.249998</v>
      </c>
      <c r="AS54" s="25">
        <f t="shared" si="40"/>
        <v>2949947877.0500002</v>
      </c>
      <c r="AT54" s="25">
        <f t="shared" si="40"/>
        <v>35434802</v>
      </c>
      <c r="AU54" s="25">
        <f t="shared" si="40"/>
        <v>6191399620.1500006</v>
      </c>
      <c r="AV54" s="25">
        <f t="shared" si="40"/>
        <v>7355553691.0900002</v>
      </c>
      <c r="AW54" s="25">
        <f t="shared" si="40"/>
        <v>5054785095.1500006</v>
      </c>
      <c r="AX54" s="25">
        <f t="shared" si="40"/>
        <v>392646484.54000002</v>
      </c>
      <c r="AY54" s="25">
        <f t="shared" si="40"/>
        <v>5447431579.6899996</v>
      </c>
      <c r="AZ54" s="25">
        <f t="shared" si="40"/>
        <v>10334165870.959999</v>
      </c>
      <c r="BA54" s="25">
        <f t="shared" si="40"/>
        <v>2906737385.29</v>
      </c>
      <c r="BB54" s="25">
        <f t="shared" si="40"/>
        <v>3262090655.8400002</v>
      </c>
      <c r="BC54" s="25">
        <f t="shared" si="40"/>
        <v>6453238709.6999998</v>
      </c>
      <c r="BD54" s="25">
        <f t="shared" si="40"/>
        <v>11900670289.390001</v>
      </c>
      <c r="BE54" s="25">
        <f t="shared" si="40"/>
        <v>848756722.96000004</v>
      </c>
      <c r="BF54" s="25">
        <f t="shared" si="40"/>
        <v>9284186771.4299984</v>
      </c>
      <c r="BG54" s="25">
        <f t="shared" si="40"/>
        <v>9580333950.079998</v>
      </c>
      <c r="BH54" s="25">
        <f t="shared" si="40"/>
        <v>1919012012.6000004</v>
      </c>
      <c r="BI54" s="25">
        <f t="shared" ref="BI54:CN54" si="41">SUM(BI49,BI50,BI51,BI52,BI53)</f>
        <v>13733768951.07</v>
      </c>
      <c r="BJ54" s="25">
        <f t="shared" si="41"/>
        <v>7032527535.6599998</v>
      </c>
      <c r="BK54" s="25">
        <f t="shared" si="41"/>
        <v>865977470.31000006</v>
      </c>
      <c r="BL54" s="25">
        <f t="shared" si="41"/>
        <v>21632289457.07</v>
      </c>
      <c r="BM54" s="25">
        <f t="shared" si="41"/>
        <v>21824947.32</v>
      </c>
      <c r="BN54" s="25">
        <f t="shared" si="41"/>
        <v>234412984.47</v>
      </c>
      <c r="BO54" s="25">
        <f t="shared" si="41"/>
        <v>225788143.02000001</v>
      </c>
      <c r="BP54" s="25">
        <f t="shared" si="41"/>
        <v>26395572.34</v>
      </c>
      <c r="BQ54" s="25">
        <f t="shared" si="41"/>
        <v>338180787.61000001</v>
      </c>
      <c r="BR54" s="25">
        <f t="shared" si="41"/>
        <v>76814769.809999987</v>
      </c>
      <c r="BS54" s="25">
        <f t="shared" si="41"/>
        <v>86595739.900000006</v>
      </c>
      <c r="BT54" s="25">
        <f t="shared" si="41"/>
        <v>498038333.42000002</v>
      </c>
      <c r="BU54" s="25">
        <f t="shared" si="41"/>
        <v>9115885.4199999999</v>
      </c>
      <c r="BV54" s="25">
        <f t="shared" si="41"/>
        <v>156379809.73999998</v>
      </c>
      <c r="BW54" s="25">
        <f t="shared" si="41"/>
        <v>148525648.09</v>
      </c>
      <c r="BX54" s="25">
        <f t="shared" si="41"/>
        <v>10192399.600000001</v>
      </c>
      <c r="BY54" s="25">
        <f t="shared" si="41"/>
        <v>132491778.73</v>
      </c>
      <c r="BZ54" s="25">
        <f t="shared" si="41"/>
        <v>3260539.24</v>
      </c>
      <c r="CA54" s="25">
        <f t="shared" si="41"/>
        <v>177937561.19</v>
      </c>
      <c r="CB54" s="25">
        <f t="shared" si="41"/>
        <v>319564217.30000001</v>
      </c>
      <c r="CC54" s="25">
        <f t="shared" si="41"/>
        <v>171042954</v>
      </c>
      <c r="CD54" s="47"/>
      <c r="CE54" s="25">
        <f t="shared" si="41"/>
        <v>64380913</v>
      </c>
      <c r="CF54" s="25">
        <f t="shared" si="41"/>
        <v>56449580</v>
      </c>
      <c r="CG54" s="25">
        <f t="shared" si="41"/>
        <v>51870445</v>
      </c>
      <c r="CH54" s="25">
        <f t="shared" si="41"/>
        <v>71622403</v>
      </c>
      <c r="CI54" s="25">
        <f t="shared" si="41"/>
        <v>66514644</v>
      </c>
      <c r="CJ54" s="25">
        <f t="shared" si="41"/>
        <v>64606548</v>
      </c>
      <c r="CK54" s="25">
        <f t="shared" si="41"/>
        <v>60450426</v>
      </c>
      <c r="CL54" s="25">
        <f t="shared" si="41"/>
        <v>17870929.240000002</v>
      </c>
      <c r="CM54" s="25">
        <f t="shared" si="41"/>
        <v>14661438.75</v>
      </c>
      <c r="CN54" s="25">
        <f t="shared" si="41"/>
        <v>869284.03</v>
      </c>
      <c r="CO54" s="25">
        <f t="shared" ref="CO54:DO54" si="42">SUM(CO49,CO50,CO51,CO52,CO53)</f>
        <v>1691562.1500000001</v>
      </c>
      <c r="CP54" s="25">
        <f t="shared" si="42"/>
        <v>10757.98</v>
      </c>
      <c r="CQ54" s="25">
        <f t="shared" si="42"/>
        <v>1853147.1800000002</v>
      </c>
      <c r="CR54" s="25">
        <f t="shared" si="42"/>
        <v>13826950.559999999</v>
      </c>
      <c r="CS54" s="25">
        <f t="shared" si="42"/>
        <v>3557899.13</v>
      </c>
      <c r="CT54" s="25">
        <f t="shared" si="42"/>
        <v>12715208.280000001</v>
      </c>
      <c r="CU54" s="25">
        <f t="shared" si="42"/>
        <v>8472731.9899999984</v>
      </c>
      <c r="CV54" s="25">
        <f t="shared" si="42"/>
        <v>11630331.43</v>
      </c>
      <c r="CW54" s="25">
        <f t="shared" si="42"/>
        <v>12594836.169999998</v>
      </c>
      <c r="CX54" s="25">
        <f t="shared" si="42"/>
        <v>7089633.3300000001</v>
      </c>
      <c r="CY54" s="25">
        <f t="shared" si="42"/>
        <v>808240.38000000012</v>
      </c>
      <c r="CZ54" s="25">
        <f t="shared" si="42"/>
        <v>12623519.820000002</v>
      </c>
      <c r="DA54" s="25">
        <f t="shared" si="42"/>
        <v>112803960</v>
      </c>
      <c r="DB54" s="47"/>
      <c r="DC54" s="25">
        <f t="shared" si="42"/>
        <v>37535649</v>
      </c>
      <c r="DD54" s="25">
        <f t="shared" si="42"/>
        <v>34252330</v>
      </c>
      <c r="DE54" s="25">
        <f t="shared" si="42"/>
        <v>45311664</v>
      </c>
      <c r="DF54" s="25">
        <f t="shared" si="42"/>
        <v>40881560</v>
      </c>
      <c r="DG54" s="25">
        <f t="shared" si="42"/>
        <v>6106422.6699999999</v>
      </c>
      <c r="DH54" s="25">
        <f t="shared" si="42"/>
        <v>4956581.2300000004</v>
      </c>
      <c r="DI54" s="25">
        <f t="shared" si="42"/>
        <v>40844.11</v>
      </c>
      <c r="DJ54" s="25">
        <f t="shared" si="42"/>
        <v>27691.129999999997</v>
      </c>
      <c r="DK54" s="25">
        <f t="shared" si="42"/>
        <v>43674.899999999994</v>
      </c>
      <c r="DL54" s="25">
        <f t="shared" si="42"/>
        <v>36588.78</v>
      </c>
      <c r="DM54" s="25">
        <f t="shared" si="42"/>
        <v>6393415.6799999997</v>
      </c>
      <c r="DN54" s="25">
        <f t="shared" si="42"/>
        <v>379344.07</v>
      </c>
      <c r="DO54" s="25">
        <f t="shared" si="42"/>
        <v>1671979.2300000002</v>
      </c>
      <c r="DP54" s="18"/>
      <c r="DQ54" s="25">
        <v>75774</v>
      </c>
      <c r="DR54" s="25">
        <v>2212356</v>
      </c>
      <c r="DS54" s="25">
        <v>208702794</v>
      </c>
      <c r="DT54" s="25">
        <v>432922</v>
      </c>
      <c r="DU54" s="25">
        <v>25346101.609999999</v>
      </c>
      <c r="DV54" s="25">
        <v>312490484</v>
      </c>
      <c r="DW54" s="25">
        <v>15530054</v>
      </c>
      <c r="DX54" s="25">
        <v>17834797</v>
      </c>
      <c r="DY54" s="25">
        <v>172036</v>
      </c>
      <c r="DZ54" s="25">
        <v>16925428</v>
      </c>
      <c r="EA54" s="25">
        <v>17155855</v>
      </c>
      <c r="EB54" s="25">
        <v>979599</v>
      </c>
      <c r="EC54" s="25">
        <v>3692057</v>
      </c>
      <c r="ED54" s="25">
        <v>2832686</v>
      </c>
      <c r="EE54" s="25">
        <v>97358</v>
      </c>
      <c r="EF54" s="25">
        <v>879721</v>
      </c>
      <c r="EG54" s="25">
        <v>17715782.649999999</v>
      </c>
      <c r="EH54" s="25">
        <v>83184202</v>
      </c>
      <c r="EI54" s="25">
        <v>64433026</v>
      </c>
      <c r="EJ54" s="25">
        <v>3370534015.7600002</v>
      </c>
      <c r="EK54" s="25">
        <f t="shared" ref="EK54:EV54" si="43">SUM(EK49,EK50,EK51,EK52,EK53)</f>
        <v>252479760.56999999</v>
      </c>
      <c r="EL54" s="25">
        <f t="shared" si="43"/>
        <v>1226973572.77</v>
      </c>
      <c r="EM54" s="25">
        <f t="shared" si="43"/>
        <v>692950373.93999994</v>
      </c>
      <c r="EN54" s="25">
        <f t="shared" si="43"/>
        <v>7271786.5099999951</v>
      </c>
      <c r="EO54" s="25">
        <f t="shared" si="43"/>
        <v>616162841.96000004</v>
      </c>
      <c r="EP54" s="25">
        <f t="shared" si="43"/>
        <v>-66739446.730000019</v>
      </c>
      <c r="EQ54" s="25">
        <f t="shared" si="43"/>
        <v>406801614.74000001</v>
      </c>
      <c r="ER54" s="25">
        <f t="shared" si="43"/>
        <v>979966.41</v>
      </c>
      <c r="ES54" s="25">
        <f t="shared" si="43"/>
        <v>52035492.879999995</v>
      </c>
      <c r="ET54" s="25">
        <f t="shared" si="43"/>
        <v>530569813.70999998</v>
      </c>
      <c r="EU54" s="25">
        <f t="shared" si="43"/>
        <v>27716575.599999998</v>
      </c>
      <c r="EV54" s="25">
        <f t="shared" si="43"/>
        <v>72009939.610000014</v>
      </c>
      <c r="EW54" s="2"/>
    </row>
    <row r="56" spans="1:153">
      <c r="A56" s="28" t="s">
        <v>345</v>
      </c>
    </row>
    <row r="57" spans="1:153">
      <c r="A57" s="29" t="s">
        <v>346</v>
      </c>
    </row>
    <row r="58" spans="1:153">
      <c r="A58" s="29" t="s">
        <v>347</v>
      </c>
    </row>
    <row r="59" spans="1:153">
      <c r="A59" t="s">
        <v>348</v>
      </c>
    </row>
  </sheetData>
  <mergeCells count="158">
    <mergeCell ref="CD14:CD54"/>
    <mergeCell ref="DB14:DB54"/>
    <mergeCell ref="A13:H13"/>
    <mergeCell ref="A20:H20"/>
    <mergeCell ref="A27:H27"/>
    <mergeCell ref="A34:H34"/>
    <mergeCell ref="A41:H41"/>
    <mergeCell ref="EE9:EE10"/>
    <mergeCell ref="EF9:EF10"/>
    <mergeCell ref="CR9:CR10"/>
    <mergeCell ref="CS9:CS10"/>
    <mergeCell ref="CT9:CT10"/>
    <mergeCell ref="BE9:BH9"/>
    <mergeCell ref="BI9:BK9"/>
    <mergeCell ref="BL9:BL10"/>
    <mergeCell ref="BM9:BP9"/>
    <mergeCell ref="BC8:BC10"/>
    <mergeCell ref="BD8:BD10"/>
    <mergeCell ref="BE8:BL8"/>
    <mergeCell ref="DC8:DD8"/>
    <mergeCell ref="DE8:DF8"/>
    <mergeCell ref="DG8:DM8"/>
    <mergeCell ref="Y8:AB8"/>
    <mergeCell ref="AC8:AC10"/>
    <mergeCell ref="EG9:EG10"/>
    <mergeCell ref="EH9:EH10"/>
    <mergeCell ref="DJ9:DJ10"/>
    <mergeCell ref="DK9:DK10"/>
    <mergeCell ref="DL9:DL10"/>
    <mergeCell ref="DM9:DM10"/>
    <mergeCell ref="DQ9:DQ10"/>
    <mergeCell ref="DR9:DR10"/>
    <mergeCell ref="CX9:CX10"/>
    <mergeCell ref="DA9:DA10"/>
    <mergeCell ref="DB9:DB10"/>
    <mergeCell ref="DC9:DC10"/>
    <mergeCell ref="DD9:DD10"/>
    <mergeCell ref="DE9:DE10"/>
    <mergeCell ref="DN8:DN10"/>
    <mergeCell ref="DO8:DO10"/>
    <mergeCell ref="DP8:DP10"/>
    <mergeCell ref="DF9:DF10"/>
    <mergeCell ref="DG9:DG10"/>
    <mergeCell ref="DH9:DH10"/>
    <mergeCell ref="DI9:DI10"/>
    <mergeCell ref="CY8:CY10"/>
    <mergeCell ref="CZ8:CZ10"/>
    <mergeCell ref="DA8:DB8"/>
    <mergeCell ref="CC8:CD8"/>
    <mergeCell ref="BQ9:BS9"/>
    <mergeCell ref="BT9:BT10"/>
    <mergeCell ref="BU9:BX9"/>
    <mergeCell ref="BY9:CA9"/>
    <mergeCell ref="CU9:CU10"/>
    <mergeCell ref="CV9:CV10"/>
    <mergeCell ref="CW9:CW10"/>
    <mergeCell ref="CL9:CL10"/>
    <mergeCell ref="CM9:CM10"/>
    <mergeCell ref="CN9:CN10"/>
    <mergeCell ref="CO9:CO10"/>
    <mergeCell ref="CP9:CP10"/>
    <mergeCell ref="CQ9:CQ10"/>
    <mergeCell ref="BM8:BT8"/>
    <mergeCell ref="BU8:CB8"/>
    <mergeCell ref="CE8:CG8"/>
    <mergeCell ref="CH8:CK8"/>
    <mergeCell ref="CL8:CX8"/>
    <mergeCell ref="CH9:CH10"/>
    <mergeCell ref="CI9:CI10"/>
    <mergeCell ref="CJ9:CJ10"/>
    <mergeCell ref="CK9:CK10"/>
    <mergeCell ref="EV8:EV10"/>
    <mergeCell ref="C9:C10"/>
    <mergeCell ref="D9:D10"/>
    <mergeCell ref="E9:E10"/>
    <mergeCell ref="F9:F10"/>
    <mergeCell ref="G9:I9"/>
    <mergeCell ref="J9:L9"/>
    <mergeCell ref="M9:M10"/>
    <mergeCell ref="N9:N10"/>
    <mergeCell ref="O9:O10"/>
    <mergeCell ref="EP8:EP10"/>
    <mergeCell ref="EQ8:EQ10"/>
    <mergeCell ref="ER8:ER10"/>
    <mergeCell ref="ES8:ES10"/>
    <mergeCell ref="ET8:ET10"/>
    <mergeCell ref="EU8:EU10"/>
    <mergeCell ref="EH8:EJ8"/>
    <mergeCell ref="EK8:EK10"/>
    <mergeCell ref="CB9:CB10"/>
    <mergeCell ref="CC9:CC10"/>
    <mergeCell ref="CD9:CD10"/>
    <mergeCell ref="CE9:CE10"/>
    <mergeCell ref="CF9:CF10"/>
    <mergeCell ref="CG9:CG10"/>
    <mergeCell ref="EL8:EL10"/>
    <mergeCell ref="EM8:EM10"/>
    <mergeCell ref="EN8:EN10"/>
    <mergeCell ref="EO8:EO10"/>
    <mergeCell ref="DQ8:DS8"/>
    <mergeCell ref="DT8:DV8"/>
    <mergeCell ref="DW8:DY8"/>
    <mergeCell ref="DZ8:EB8"/>
    <mergeCell ref="EC8:EE8"/>
    <mergeCell ref="EF8:EG8"/>
    <mergeCell ref="EI9:EI10"/>
    <mergeCell ref="EJ9:EJ10"/>
    <mergeCell ref="DY9:DY10"/>
    <mergeCell ref="DZ9:DZ10"/>
    <mergeCell ref="EA9:EA10"/>
    <mergeCell ref="EB9:EB10"/>
    <mergeCell ref="EC9:EC10"/>
    <mergeCell ref="ED9:ED10"/>
    <mergeCell ref="DS9:DS10"/>
    <mergeCell ref="DT9:DT10"/>
    <mergeCell ref="DU9:DU10"/>
    <mergeCell ref="DV9:DV10"/>
    <mergeCell ref="DW9:DW10"/>
    <mergeCell ref="DX9:DX10"/>
    <mergeCell ref="AD8:AJ8"/>
    <mergeCell ref="AK8:AK10"/>
    <mergeCell ref="AL8:AL10"/>
    <mergeCell ref="AM8:BB8"/>
    <mergeCell ref="AM9:AM10"/>
    <mergeCell ref="AN9:AV9"/>
    <mergeCell ref="AW9:AY9"/>
    <mergeCell ref="AZ9:AZ10"/>
    <mergeCell ref="Y9:Z9"/>
    <mergeCell ref="AA9:AB9"/>
    <mergeCell ref="AD9:AD10"/>
    <mergeCell ref="AE9:AI9"/>
    <mergeCell ref="AJ9:AJ10"/>
    <mergeCell ref="BA9:BA10"/>
    <mergeCell ref="BB9:BB10"/>
    <mergeCell ref="A8:A10"/>
    <mergeCell ref="B8:B10"/>
    <mergeCell ref="C8:F8"/>
    <mergeCell ref="G8:M8"/>
    <mergeCell ref="N8:Q8"/>
    <mergeCell ref="R8:X8"/>
    <mergeCell ref="P9:P10"/>
    <mergeCell ref="Q9:Q10"/>
    <mergeCell ref="R9:T9"/>
    <mergeCell ref="U9:W9"/>
    <mergeCell ref="X9:X10"/>
    <mergeCell ref="B7:AC7"/>
    <mergeCell ref="AD7:CB7"/>
    <mergeCell ref="CC7:CZ7"/>
    <mergeCell ref="DA7:DO7"/>
    <mergeCell ref="DP7:EJ7"/>
    <mergeCell ref="EK7:EV7"/>
    <mergeCell ref="A1:N1"/>
    <mergeCell ref="A2:N2"/>
    <mergeCell ref="A3:N3"/>
    <mergeCell ref="A4:N4"/>
    <mergeCell ref="A5:N5"/>
    <mergeCell ref="A6:G6"/>
    <mergeCell ref="H6:N6"/>
  </mergeCells>
  <pageMargins left="0" right="0" top="0" bottom="0" header="0.5" footer="0.5"/>
  <pageSetup pageOrder="overThenDown" orientation="landscape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4BDEEF99D212469DD5CBAE3676930B" ma:contentTypeVersion="15" ma:contentTypeDescription="Crie um novo documento." ma:contentTypeScope="" ma:versionID="ab08ec8871955bb65e88bcb658a2711a">
  <xsd:schema xmlns:xsd="http://www.w3.org/2001/XMLSchema" xmlns:xs="http://www.w3.org/2001/XMLSchema" xmlns:p="http://schemas.microsoft.com/office/2006/metadata/properties" xmlns:ns2="21441324-80bd-4496-af88-aea3a97193ac" xmlns:ns3="c886050a-9ad4-40b4-a6a1-233234e508b0" targetNamespace="http://schemas.microsoft.com/office/2006/metadata/properties" ma:root="true" ma:fieldsID="2bf1ae4c5eb403d1529f7fdc9759ee18" ns2:_="" ns3:_="">
    <xsd:import namespace="21441324-80bd-4496-af88-aea3a97193ac"/>
    <xsd:import namespace="c886050a-9ad4-40b4-a6a1-233234e508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41324-80bd-4496-af88-aea3a9719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5fd7c703-4c59-4b94-8590-81cf4c396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6050a-9ad4-40b4-a6a1-233234e508b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19d3c6a-3fd2-4039-97d2-f7d4d8916ead}" ma:internalName="TaxCatchAll" ma:showField="CatchAllData" ma:web="c886050a-9ad4-40b4-a6a1-233234e508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441324-80bd-4496-af88-aea3a97193ac">
      <Terms xmlns="http://schemas.microsoft.com/office/infopath/2007/PartnerControls"/>
    </lcf76f155ced4ddcb4097134ff3c332f>
    <TaxCatchAll xmlns="c886050a-9ad4-40b4-a6a1-233234e508b0" xsi:nil="true"/>
  </documentManagement>
</p:properties>
</file>

<file path=customXml/itemProps1.xml><?xml version="1.0" encoding="utf-8"?>
<ds:datastoreItem xmlns:ds="http://schemas.openxmlformats.org/officeDocument/2006/customXml" ds:itemID="{F9831095-BD7B-4F82-B533-6FB39FAFBE75}"/>
</file>

<file path=customXml/itemProps2.xml><?xml version="1.0" encoding="utf-8"?>
<ds:datastoreItem xmlns:ds="http://schemas.openxmlformats.org/officeDocument/2006/customXml" ds:itemID="{1AEE58EB-90D9-4012-86D9-C45E920B8B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A09D57-62D7-4A94-A984-A8F0A7671C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Resumo Inf. Abrangênci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Matheus Almeida Ferreira</cp:lastModifiedBy>
  <cp:revision/>
  <dcterms:created xsi:type="dcterms:W3CDTF">2023-12-15T22:50:22Z</dcterms:created>
  <dcterms:modified xsi:type="dcterms:W3CDTF">2024-02-06T13:37:35Z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0x010100214BDEEF99D212469DD5CBAE3676930B</vt:lpwstr>
  </property>
</Properties>
</file>