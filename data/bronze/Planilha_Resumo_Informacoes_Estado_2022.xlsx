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theus.ferreira.FUNASA\Downloads\Planilhas_AE2022\Planilha_Resumo_Estado_2022\"/>
    </mc:Choice>
  </mc:AlternateContent>
  <xr:revisionPtr revIDLastSave="0" documentId="13_ncr:1_{A88521C2-FC85-4F8F-8C3D-555B9572AA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 Resumo Inf. Est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50" i="1" l="1"/>
  <c r="F21" i="1"/>
  <c r="Q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F32" i="1"/>
  <c r="Q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F38" i="1"/>
  <c r="Q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F43" i="1"/>
  <c r="Q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F49" i="1"/>
  <c r="Q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F50" i="1"/>
  <c r="Q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C50" i="1"/>
  <c r="DD50" i="1"/>
  <c r="DF50" i="1"/>
  <c r="DG50" i="1"/>
  <c r="DH50" i="1"/>
  <c r="DI50" i="1"/>
  <c r="DJ50" i="1"/>
  <c r="DK50" i="1"/>
  <c r="DL50" i="1"/>
  <c r="DM50" i="1"/>
  <c r="DN50" i="1"/>
  <c r="DO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</calcChain>
</file>

<file path=xl/sharedStrings.xml><?xml version="1.0" encoding="utf-8"?>
<sst xmlns="http://schemas.openxmlformats.org/spreadsheetml/2006/main" count="772" uniqueCount="363">
  <si>
    <t>MINISTÉRIO DAS CIDADES /  SECRETARIA NACIONAL DE SANEAMENTO AMBIENTAL</t>
  </si>
  <si>
    <t>SISTEMA NACIONAL DE INFORMAÇÕES SOBRE SANEAMENTO - SNIS</t>
  </si>
  <si>
    <t>Diagnóstico dos Serviços de Água e Esgotos - 2022</t>
  </si>
  <si>
    <t>TABELA COMPLETA DE INFORMAÇÕES</t>
  </si>
  <si>
    <t/>
  </si>
  <si>
    <t>MUNICÍPIOS</t>
  </si>
  <si>
    <t>INFORMAÇÕES GERAIS</t>
  </si>
  <si>
    <t>INFORMAÇÕES FINANCEIRAS</t>
  </si>
  <si>
    <t>INFORMAÇÕES OPERACIONAIS - ÁGUA</t>
  </si>
  <si>
    <t>INFORMAÇÕES OPERACIONAIS - ESGOTOS</t>
  </si>
  <si>
    <t>INFORMAÇÕES SOBRE QUALIDADE</t>
  </si>
  <si>
    <t>INFORMAÇÕES SOBRE BALANÇO CONTÁBIL</t>
  </si>
  <si>
    <t>Estado</t>
  </si>
  <si>
    <t>Quantidade de municípios atendidos</t>
  </si>
  <si>
    <t>ATENDIMENTO COM ÁGUA</t>
  </si>
  <si>
    <t>SITUAÇÃO DA DELEGAÇÃO - ÁGUA</t>
  </si>
  <si>
    <t>ATENDIMENTO COM ESGOTOS</t>
  </si>
  <si>
    <t>SITUAÇÃO DA DELEGAÇÃO - ESGOTO</t>
  </si>
  <si>
    <t>POPULAÇÃO RESIDENTE</t>
  </si>
  <si>
    <t>Quantidade total de empregados próprios</t>
  </si>
  <si>
    <t>RECEITAS OPERACIONAIS</t>
  </si>
  <si>
    <t>Arrecadação total</t>
  </si>
  <si>
    <t>Crédito de contas a receber</t>
  </si>
  <si>
    <t>DESPESAS TOTAIS COM OS SERVIÇOS (DTS)</t>
  </si>
  <si>
    <t>Serviço da dívida - Parcela 2 de 2 - Amortização</t>
  </si>
  <si>
    <t>Totais serviço da dívida</t>
  </si>
  <si>
    <t>INVESTIMENTOS CONTRATADOS PELO PRESTADOR DE SERVIÇOS</t>
  </si>
  <si>
    <t>INVESTIMENTOS CONTRATADOS PELA PREFEITURA MUNICIPAL</t>
  </si>
  <si>
    <t>INVESTIMENTOS CONTRATADOS PELO GOVERNO DO ESTADO</t>
  </si>
  <si>
    <t>POPULAÇÃO ATENDIDA</t>
  </si>
  <si>
    <t>QUANTIDADES DE LIGAÇÕES</t>
  </si>
  <si>
    <t>QUANTIDADES DE ECONOMIAS ATIVAS</t>
  </si>
  <si>
    <t>VOLUMES DE ÁGUA</t>
  </si>
  <si>
    <t>Extensão da rede</t>
  </si>
  <si>
    <t>Consumo total de energia elétrica</t>
  </si>
  <si>
    <t xml:space="preserve">QUANTIDADES DE </t>
  </si>
  <si>
    <t>QUANTIDADE DE ECONOMIAS ATIVAS</t>
  </si>
  <si>
    <t>VOLUMES DE ESGOTO</t>
  </si>
  <si>
    <t>Extensão da rede de esgoto</t>
  </si>
  <si>
    <t>Atendimento da portaria sobre qualidade da Água</t>
  </si>
  <si>
    <t xml:space="preserve">PARALISAÇÕES EM SISTEMAS DE </t>
  </si>
  <si>
    <t xml:space="preserve">INTERMITÊNCIAS EM SISTEMAS DE </t>
  </si>
  <si>
    <t>AMOSTRAS PARA ANÁLISE CLORO RESIDUAL</t>
  </si>
  <si>
    <t xml:space="preserve">AMOSTRAS PARA ANÁLISE </t>
  </si>
  <si>
    <t>AMOSTRAS PARA ANÁLISE COLIFORMES TOTAIS</t>
  </si>
  <si>
    <t>EXTRAVASAMENTOS DE ESGOTO</t>
  </si>
  <si>
    <t xml:space="preserve">RECLAMAÇÕES E SERVIÇOS </t>
  </si>
  <si>
    <t>Ativo circulante</t>
  </si>
  <si>
    <t>Ativo total</t>
  </si>
  <si>
    <t>Exigível a longo prazo</t>
  </si>
  <si>
    <t>Lucro líquido com depreciação</t>
  </si>
  <si>
    <t>Passivo circulante</t>
  </si>
  <si>
    <t>Patrimônio líquido</t>
  </si>
  <si>
    <t>Receita operacional</t>
  </si>
  <si>
    <t>Resultado de exercícios futuros</t>
  </si>
  <si>
    <t>Resultado operacional com depreciação</t>
  </si>
  <si>
    <t>Realizável a longo prazo</t>
  </si>
  <si>
    <t>Lucro líquido sem depreciação</t>
  </si>
  <si>
    <t>Resultado operacional sem depreciação</t>
  </si>
  <si>
    <t>Quantidade de municípios atendidos com abastecimen</t>
  </si>
  <si>
    <t>Aonde atende com abastecimento de água</t>
  </si>
  <si>
    <t>Quantidade de sedes municipais atendidas com abasteciment</t>
  </si>
  <si>
    <t>Quantidade localidades atendidas com abastecimento de água</t>
  </si>
  <si>
    <t>MUNICÍPIOS ATENDIDOS</t>
  </si>
  <si>
    <t>MUNICÍPIOS NÃO ATENDIDOS</t>
  </si>
  <si>
    <t>Ano de vencimento da delegação</t>
  </si>
  <si>
    <t xml:space="preserve">Quantidade de municípios atendidos com esgotamento </t>
  </si>
  <si>
    <t>Aonde atende com esgotamento sanitário</t>
  </si>
  <si>
    <t xml:space="preserve">Quantidade de sedes municipais atendidas com esgotamento </t>
  </si>
  <si>
    <t xml:space="preserve">Quantidade de localidades atendidas com esgotamento </t>
  </si>
  <si>
    <t xml:space="preserve">MUNICÍPIOS ATENDIDOS COM </t>
  </si>
  <si>
    <t>Total (direta + indireta)</t>
  </si>
  <si>
    <t>DIRETA</t>
  </si>
  <si>
    <t>Indireta</t>
  </si>
  <si>
    <t>Total (DTS)</t>
  </si>
  <si>
    <t>DESPESAS DE EXPLORACÃO (DEX)</t>
  </si>
  <si>
    <t>SERVIÇO DA DÍVIDA - PARCELA 1 DE 2</t>
  </si>
  <si>
    <t>Depreciação, amortização e provisão</t>
  </si>
  <si>
    <t>Fiscais ou tributárias não incidentes na DEX</t>
  </si>
  <si>
    <t>Outras despesas</t>
  </si>
  <si>
    <t>SEGUNDO O DESTINO</t>
  </si>
  <si>
    <t>SEGUNDO A ORIGEM</t>
  </si>
  <si>
    <t>Total</t>
  </si>
  <si>
    <t>População total atendida com abastecimento de água</t>
  </si>
  <si>
    <t>População urbana atendida com abastecimento de água</t>
  </si>
  <si>
    <t>Total (ativas + inativas)</t>
  </si>
  <si>
    <t>Ativas</t>
  </si>
  <si>
    <t>Ativas micromedidas</t>
  </si>
  <si>
    <t>Total (ativas)</t>
  </si>
  <si>
    <t>Micromedidas</t>
  </si>
  <si>
    <t>Residenciais</t>
  </si>
  <si>
    <t>Residencias micromedidas</t>
  </si>
  <si>
    <t>Produzido</t>
  </si>
  <si>
    <t>Macromedido</t>
  </si>
  <si>
    <t>De serviço</t>
  </si>
  <si>
    <t>Tratada importado</t>
  </si>
  <si>
    <t>Bruta exportado</t>
  </si>
  <si>
    <t>Tratada exportado</t>
  </si>
  <si>
    <t>Tratado em ETA(s)</t>
  </si>
  <si>
    <t>Tratada por simples desinfecção</t>
  </si>
  <si>
    <t>Fluoretada</t>
  </si>
  <si>
    <t>Micromedido</t>
  </si>
  <si>
    <t>Consumido</t>
  </si>
  <si>
    <t>Faturado</t>
  </si>
  <si>
    <t>Micromedido nas economias residenciais ativas</t>
  </si>
  <si>
    <t>População total atendida com esgotamento sanitário</t>
  </si>
  <si>
    <t>População urbana atendida com esgotamento sanitário</t>
  </si>
  <si>
    <t>Total   (ativas)</t>
  </si>
  <si>
    <t>Coletado</t>
  </si>
  <si>
    <t>Tratado</t>
  </si>
  <si>
    <t>Bruto exportado</t>
  </si>
  <si>
    <t>Bruto exportado tratado nas instalações do importador</t>
  </si>
  <si>
    <t>Bruto importado</t>
  </si>
  <si>
    <t>Bruto importado tratado nas instalações do importador</t>
  </si>
  <si>
    <t>Paralisações</t>
  </si>
  <si>
    <t>Duração</t>
  </si>
  <si>
    <t>Economias ativas atingidas</t>
  </si>
  <si>
    <t>Interrupções</t>
  </si>
  <si>
    <t>Obrigatórias</t>
  </si>
  <si>
    <t>Analisadas</t>
  </si>
  <si>
    <t>Resultados fora do padrão</t>
  </si>
  <si>
    <t>Extravasamentos</t>
  </si>
  <si>
    <t>Reclamações ou solicitações de serviços</t>
  </si>
  <si>
    <t>Serviços executados</t>
  </si>
  <si>
    <t>Tempo total de execução dos serviços</t>
  </si>
  <si>
    <t>Com delegação em vigor</t>
  </si>
  <si>
    <t>Com delegação vencida</t>
  </si>
  <si>
    <t>Sem delegação</t>
  </si>
  <si>
    <t>População residente total, segundo o IBGE</t>
  </si>
  <si>
    <t>População residente urbana</t>
  </si>
  <si>
    <t>Água</t>
  </si>
  <si>
    <t>Esgoto</t>
  </si>
  <si>
    <t>Água Exportada</t>
  </si>
  <si>
    <t>Esgoto bruto importado</t>
  </si>
  <si>
    <t>Total (DEX)</t>
  </si>
  <si>
    <t>Pessoal próprio</t>
  </si>
  <si>
    <t>Produtos químicos</t>
  </si>
  <si>
    <t>Energia elétrica</t>
  </si>
  <si>
    <t>Serviços de terceiros</t>
  </si>
  <si>
    <t>Água importada (bruta ou tratada)</t>
  </si>
  <si>
    <t>Esgoto bruto exportado</t>
  </si>
  <si>
    <t>Fiscais ou tributárias computadas na DEX</t>
  </si>
  <si>
    <t>Outras despesas de exploração</t>
  </si>
  <si>
    <t>Juros e encargos</t>
  </si>
  <si>
    <t>Variação cambial</t>
  </si>
  <si>
    <t>Despesas Capitalizáveis</t>
  </si>
  <si>
    <t>Abastecimento de Água</t>
  </si>
  <si>
    <t>Esgotamento Sanitário</t>
  </si>
  <si>
    <t>Outros</t>
  </si>
  <si>
    <t>Próprios</t>
  </si>
  <si>
    <t>Onerosos</t>
  </si>
  <si>
    <t>Não onerosos</t>
  </si>
  <si>
    <t>-</t>
  </si>
  <si>
    <t>município</t>
  </si>
  <si>
    <t>sede</t>
  </si>
  <si>
    <t>localidade</t>
  </si>
  <si>
    <t>ano</t>
  </si>
  <si>
    <t>habitante</t>
  </si>
  <si>
    <t>empregado</t>
  </si>
  <si>
    <t>R$/ano</t>
  </si>
  <si>
    <t>ligação</t>
  </si>
  <si>
    <t>economia</t>
  </si>
  <si>
    <t>1.000 m³/ano</t>
  </si>
  <si>
    <t>km</t>
  </si>
  <si>
    <t xml:space="preserve">1.000 </t>
  </si>
  <si>
    <t>paralisação/a</t>
  </si>
  <si>
    <t>hora/ano</t>
  </si>
  <si>
    <t>economia/an</t>
  </si>
  <si>
    <t>interrupção/a</t>
  </si>
  <si>
    <t>amostra/ano</t>
  </si>
  <si>
    <t>extravasamentos/ano</t>
  </si>
  <si>
    <t>reclamações/</t>
  </si>
  <si>
    <t>serviço/ano</t>
  </si>
  <si>
    <t>GE005</t>
  </si>
  <si>
    <t>GE05a</t>
  </si>
  <si>
    <t>GE019</t>
  </si>
  <si>
    <t>GE008</t>
  </si>
  <si>
    <t>GE010</t>
  </si>
  <si>
    <t>GE001</t>
  </si>
  <si>
    <t>GE002</t>
  </si>
  <si>
    <t>GE003</t>
  </si>
  <si>
    <t>GE025</t>
  </si>
  <si>
    <t>GE026</t>
  </si>
  <si>
    <t>GE027</t>
  </si>
  <si>
    <t>GE017</t>
  </si>
  <si>
    <t>GE05b</t>
  </si>
  <si>
    <t>GE020</t>
  </si>
  <si>
    <t>GE009</t>
  </si>
  <si>
    <t>GE011</t>
  </si>
  <si>
    <t>GE014</t>
  </si>
  <si>
    <t>GE015</t>
  </si>
  <si>
    <t>GE016</t>
  </si>
  <si>
    <t>GE028</t>
  </si>
  <si>
    <t>GE029</t>
  </si>
  <si>
    <t>GE030</t>
  </si>
  <si>
    <t>GE018</t>
  </si>
  <si>
    <t>GE12a</t>
  </si>
  <si>
    <t>GE06a</t>
  </si>
  <si>
    <t>GE12b</t>
  </si>
  <si>
    <t>GE06b</t>
  </si>
  <si>
    <t>FN026</t>
  </si>
  <si>
    <t>FN005</t>
  </si>
  <si>
    <t>FN001</t>
  </si>
  <si>
    <t>FN002</t>
  </si>
  <si>
    <t>FN003</t>
  </si>
  <si>
    <t>FN007</t>
  </si>
  <si>
    <t>FN038</t>
  </si>
  <si>
    <t>FN004</t>
  </si>
  <si>
    <t>FN006</t>
  </si>
  <si>
    <t>FN008</t>
  </si>
  <si>
    <t>FN017</t>
  </si>
  <si>
    <t>FN015</t>
  </si>
  <si>
    <t>FN010</t>
  </si>
  <si>
    <t>FN011</t>
  </si>
  <si>
    <t>FN013</t>
  </si>
  <si>
    <t>FN014</t>
  </si>
  <si>
    <t>FN020</t>
  </si>
  <si>
    <t>FN039</t>
  </si>
  <si>
    <t>FN021</t>
  </si>
  <si>
    <t>FN027</t>
  </si>
  <si>
    <t>FN035</t>
  </si>
  <si>
    <t>FN036</t>
  </si>
  <si>
    <t>FN016</t>
  </si>
  <si>
    <t>FN019</t>
  </si>
  <si>
    <t>FN022</t>
  </si>
  <si>
    <t>FN028</t>
  </si>
  <si>
    <t>FN034</t>
  </si>
  <si>
    <t>FN037</t>
  </si>
  <si>
    <t>FN018</t>
  </si>
  <si>
    <t>FN023</t>
  </si>
  <si>
    <t>FN024</t>
  </si>
  <si>
    <t>FN025</t>
  </si>
  <si>
    <t>FN030</t>
  </si>
  <si>
    <t>FN031</t>
  </si>
  <si>
    <t>FN032</t>
  </si>
  <si>
    <t>FN033</t>
  </si>
  <si>
    <t>FN041</t>
  </si>
  <si>
    <t>FN042</t>
  </si>
  <si>
    <t>FN043</t>
  </si>
  <si>
    <t>FN044</t>
  </si>
  <si>
    <t>FN045</t>
  </si>
  <si>
    <t>FN046</t>
  </si>
  <si>
    <t>FN047</t>
  </si>
  <si>
    <t>FN048</t>
  </si>
  <si>
    <t>FN051</t>
  </si>
  <si>
    <t>FN052</t>
  </si>
  <si>
    <t>FN053</t>
  </si>
  <si>
    <t>FN054</t>
  </si>
  <si>
    <t>FN055</t>
  </si>
  <si>
    <t>FN056</t>
  </si>
  <si>
    <t>FN057</t>
  </si>
  <si>
    <t>FN058</t>
  </si>
  <si>
    <t>AG001</t>
  </si>
  <si>
    <t>AG026</t>
  </si>
  <si>
    <t>AG021</t>
  </si>
  <si>
    <t>AG002</t>
  </si>
  <si>
    <t>AG004</t>
  </si>
  <si>
    <t>AG003</t>
  </si>
  <si>
    <t>AG014</t>
  </si>
  <si>
    <t>AG013</t>
  </si>
  <si>
    <t>AG022</t>
  </si>
  <si>
    <t>AG006</t>
  </si>
  <si>
    <t>AG012</t>
  </si>
  <si>
    <t>AG024</t>
  </si>
  <si>
    <t>AG018</t>
  </si>
  <si>
    <t>AG017</t>
  </si>
  <si>
    <t>AG019</t>
  </si>
  <si>
    <t>AG007</t>
  </si>
  <si>
    <t>AG015</t>
  </si>
  <si>
    <t>AG027</t>
  </si>
  <si>
    <t>AG008</t>
  </si>
  <si>
    <t>AG010</t>
  </si>
  <si>
    <t>AG011</t>
  </si>
  <si>
    <t>AG020</t>
  </si>
  <si>
    <t>AG005</t>
  </si>
  <si>
    <t>AG028</t>
  </si>
  <si>
    <t>ES001</t>
  </si>
  <si>
    <t>ES026</t>
  </si>
  <si>
    <t>ES009</t>
  </si>
  <si>
    <t>ES002</t>
  </si>
  <si>
    <t>ES003</t>
  </si>
  <si>
    <t>ES008</t>
  </si>
  <si>
    <t>ES005</t>
  </si>
  <si>
    <t>ES006</t>
  </si>
  <si>
    <t>ES012</t>
  </si>
  <si>
    <t>ES015</t>
  </si>
  <si>
    <t>ES013</t>
  </si>
  <si>
    <t>ES014</t>
  </si>
  <si>
    <t>ES007</t>
  </si>
  <si>
    <t>ES004</t>
  </si>
  <si>
    <t>ES028</t>
  </si>
  <si>
    <t>QD001</t>
  </si>
  <si>
    <t>QD002</t>
  </si>
  <si>
    <t>QD003</t>
  </si>
  <si>
    <t>QD004</t>
  </si>
  <si>
    <t>QD021</t>
  </si>
  <si>
    <t>QD022</t>
  </si>
  <si>
    <t>QD015</t>
  </si>
  <si>
    <t>QD020</t>
  </si>
  <si>
    <t>QD006</t>
  </si>
  <si>
    <t>QD007</t>
  </si>
  <si>
    <t>QD019</t>
  </si>
  <si>
    <t>QD008</t>
  </si>
  <si>
    <t>QD009</t>
  </si>
  <si>
    <t>QD028</t>
  </si>
  <si>
    <t>QD026</t>
  </si>
  <si>
    <t>QD027</t>
  </si>
  <si>
    <t>QD011</t>
  </si>
  <si>
    <t>QD012</t>
  </si>
  <si>
    <t>QD023</t>
  </si>
  <si>
    <t>QD024</t>
  </si>
  <si>
    <t>QD025</t>
  </si>
  <si>
    <t>BL001</t>
  </si>
  <si>
    <t>BL002</t>
  </si>
  <si>
    <t>BL003</t>
  </si>
  <si>
    <t>BL004</t>
  </si>
  <si>
    <t>BL005</t>
  </si>
  <si>
    <t>BL006</t>
  </si>
  <si>
    <t>BL007</t>
  </si>
  <si>
    <t>BL008</t>
  </si>
  <si>
    <t>BL009</t>
  </si>
  <si>
    <t>BL010</t>
  </si>
  <si>
    <t>BL011</t>
  </si>
  <si>
    <t>BL012</t>
  </si>
  <si>
    <t>N - Norte</t>
  </si>
  <si>
    <t>Acre (AC)</t>
  </si>
  <si>
    <t>Vide item 3 das Observações</t>
  </si>
  <si>
    <t>Amapá (AP)</t>
  </si>
  <si>
    <t>Amazonas (AM)</t>
  </si>
  <si>
    <t>Pará (PA)</t>
  </si>
  <si>
    <t>Rondônia (RO)</t>
  </si>
  <si>
    <t>Roraima (RR)</t>
  </si>
  <si>
    <t>Tocantins (TO)</t>
  </si>
  <si>
    <t>Total por grupo:</t>
  </si>
  <si>
    <t>NE - Nordeste</t>
  </si>
  <si>
    <t>Alagoas (AL)</t>
  </si>
  <si>
    <t>Bahia (BA)</t>
  </si>
  <si>
    <t>Ceará (CE)</t>
  </si>
  <si>
    <t>Maranhão (MA)</t>
  </si>
  <si>
    <t>Paraíba (PB)</t>
  </si>
  <si>
    <t>Pernambuco (PE)</t>
  </si>
  <si>
    <t>Piauí (PI)</t>
  </si>
  <si>
    <t>Rio Grande do Norte (RN)</t>
  </si>
  <si>
    <t>Sergipe (SE)</t>
  </si>
  <si>
    <t>SE - Sudeste</t>
  </si>
  <si>
    <t>Espírito Santo (ES)</t>
  </si>
  <si>
    <t>Minas Gerais (MG)</t>
  </si>
  <si>
    <t>Rio de Janeiro (RJ)</t>
  </si>
  <si>
    <t>São Paulo (SP)</t>
  </si>
  <si>
    <t>S - Sul</t>
  </si>
  <si>
    <t>Paraná (PR)</t>
  </si>
  <si>
    <t>Rio Grande do Sul (RS)</t>
  </si>
  <si>
    <t>Santa Catarina (SC)</t>
  </si>
  <si>
    <t>CO - Centro-Oeste</t>
  </si>
  <si>
    <t>Distrito Federal (DF)</t>
  </si>
  <si>
    <t>Goiás (GO)</t>
  </si>
  <si>
    <t>Mato Grosso do Sul (MS)</t>
  </si>
  <si>
    <t>Mato Grosso (MT)</t>
  </si>
  <si>
    <t>TOTALIZAÇÃO NACIONAL</t>
  </si>
  <si>
    <t>Observações:</t>
  </si>
  <si>
    <t>1) As informações e os indicadores calculados da planilha resumo utilizam a base agregada do SNIS, com exceção dos dados de qualidade, que utilizam a base desagregada.</t>
  </si>
  <si>
    <t>2) A consolidação das informações de população residente considera a base desagregada do SNIS. Os municípios atendidos por mais de um prestador têm a população residente contabilizada somente uma vez.</t>
  </si>
  <si>
    <t>3) Em 2022, o IBGE realizou o Censo Demográfico do Brasil. Até a data de divulgação do presente Diagnóstico, o Instituto não havia divulgado a população urbana residente. Por este motivo, a publicação do SNIS ano de referência 2022 não apresenta os dados de população urbana atendida e, por consequência, não calcula os respetivos índices de atendimento urbano.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</si>
</sst>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0"/>
      <color indexed="8"/>
      <name val="Arial"/>
    </font>
    <font>
      <sz val="10"/>
      <color indexed="8"/>
      <name val="SansSerif"/>
    </font>
    <font>
      <sz val="10"/>
      <color indexed="30"/>
      <name val="Arial"/>
    </font>
    <font>
      <b/>
      <sz val="10"/>
      <color indexed="10"/>
      <name val="Arial"/>
    </font>
    <font>
      <b/>
      <sz val="10"/>
      <color indexed="12"/>
      <name val="Arial"/>
    </font>
    <font>
      <b/>
      <sz val="10"/>
      <color indexed="8"/>
      <name val="Arial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55"/>
  <sheetViews>
    <sheetView tabSelected="1" workbookViewId="0">
      <pane xSplit="1" ySplit="12" topLeftCell="B13" activePane="bottomRight" state="frozen"/>
      <selection pane="topRight"/>
      <selection pane="bottomLeft"/>
      <selection pane="bottomRight" sqref="A1:N1"/>
    </sheetView>
  </sheetViews>
  <sheetFormatPr defaultRowHeight="12.75"/>
  <cols>
    <col min="1" max="1" width="38.140625" customWidth="1"/>
    <col min="2" max="15" width="13.85546875" customWidth="1"/>
    <col min="16" max="29" width="13.42578125" customWidth="1"/>
    <col min="30" max="38" width="18.7109375" customWidth="1"/>
    <col min="39" max="77" width="17.85546875" customWidth="1"/>
    <col min="78" max="80" width="16.5703125" customWidth="1"/>
    <col min="81" max="81" width="15.28515625" customWidth="1"/>
    <col min="82" max="82" width="10.85546875" customWidth="1"/>
    <col min="83" max="93" width="15" customWidth="1"/>
    <col min="94" max="104" width="13.5703125" customWidth="1"/>
    <col min="105" max="113" width="16.140625" customWidth="1"/>
    <col min="114" max="119" width="15.28515625" customWidth="1"/>
    <col min="120" max="140" width="16.5703125" customWidth="1"/>
    <col min="141" max="152" width="16.85546875" customWidth="1"/>
    <col min="153" max="154" width="8.85546875" hidden="1" customWidth="1"/>
  </cols>
  <sheetData>
    <row r="1" spans="1:153" ht="12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</row>
    <row r="2" spans="1:153" ht="12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spans="1:153" ht="12" customHeight="1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</row>
    <row r="4" spans="1:153" ht="12" customHeight="1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</row>
    <row r="5" spans="1:153" ht="18" customHeight="1">
      <c r="A5" s="47">
        <v>45324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</row>
    <row r="6" spans="1:153" ht="11.1" customHeight="1">
      <c r="A6" s="38" t="s">
        <v>4</v>
      </c>
      <c r="B6" s="38"/>
      <c r="C6" s="38"/>
      <c r="D6" s="38"/>
      <c r="E6" s="38"/>
      <c r="F6" s="38"/>
      <c r="G6" s="38"/>
      <c r="H6" s="38" t="s">
        <v>4</v>
      </c>
      <c r="I6" s="38"/>
      <c r="J6" s="38"/>
      <c r="K6" s="38"/>
      <c r="L6" s="38"/>
      <c r="M6" s="38"/>
      <c r="N6" s="3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</row>
    <row r="7" spans="1:153" ht="27.95" customHeight="1">
      <c r="A7" s="3" t="s">
        <v>5</v>
      </c>
      <c r="B7" s="29" t="s">
        <v>6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 t="s">
        <v>7</v>
      </c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1" t="s">
        <v>8</v>
      </c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2" t="s">
        <v>9</v>
      </c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3" t="s">
        <v>10</v>
      </c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4" t="s">
        <v>11</v>
      </c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2"/>
    </row>
    <row r="8" spans="1:153" ht="12" customHeight="1">
      <c r="A8" s="39" t="s">
        <v>12</v>
      </c>
      <c r="B8" s="39" t="s">
        <v>13</v>
      </c>
      <c r="C8" s="39" t="s">
        <v>14</v>
      </c>
      <c r="D8" s="39"/>
      <c r="E8" s="39"/>
      <c r="F8" s="39"/>
      <c r="G8" s="39" t="s">
        <v>15</v>
      </c>
      <c r="H8" s="39"/>
      <c r="I8" s="39"/>
      <c r="J8" s="39"/>
      <c r="K8" s="39"/>
      <c r="L8" s="39"/>
      <c r="M8" s="39"/>
      <c r="N8" s="39" t="s">
        <v>16</v>
      </c>
      <c r="O8" s="39"/>
      <c r="P8" s="39"/>
      <c r="Q8" s="39"/>
      <c r="R8" s="39" t="s">
        <v>17</v>
      </c>
      <c r="S8" s="39"/>
      <c r="T8" s="39"/>
      <c r="U8" s="39"/>
      <c r="V8" s="39"/>
      <c r="W8" s="39"/>
      <c r="X8" s="39"/>
      <c r="Y8" s="39" t="s">
        <v>18</v>
      </c>
      <c r="Z8" s="39"/>
      <c r="AA8" s="39"/>
      <c r="AB8" s="39"/>
      <c r="AC8" s="39" t="s">
        <v>19</v>
      </c>
      <c r="AD8" s="40" t="s">
        <v>20</v>
      </c>
      <c r="AE8" s="40"/>
      <c r="AF8" s="40"/>
      <c r="AG8" s="40"/>
      <c r="AH8" s="40"/>
      <c r="AI8" s="40"/>
      <c r="AJ8" s="40"/>
      <c r="AK8" s="40" t="s">
        <v>21</v>
      </c>
      <c r="AL8" s="40" t="s">
        <v>22</v>
      </c>
      <c r="AM8" s="40" t="s">
        <v>23</v>
      </c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 t="s">
        <v>24</v>
      </c>
      <c r="BD8" s="40" t="s">
        <v>25</v>
      </c>
      <c r="BE8" s="40" t="s">
        <v>26</v>
      </c>
      <c r="BF8" s="40"/>
      <c r="BG8" s="40"/>
      <c r="BH8" s="40"/>
      <c r="BI8" s="40"/>
      <c r="BJ8" s="40"/>
      <c r="BK8" s="40"/>
      <c r="BL8" s="40"/>
      <c r="BM8" s="40" t="s">
        <v>27</v>
      </c>
      <c r="BN8" s="40"/>
      <c r="BO8" s="40"/>
      <c r="BP8" s="40"/>
      <c r="BQ8" s="40"/>
      <c r="BR8" s="40"/>
      <c r="BS8" s="40"/>
      <c r="BT8" s="40"/>
      <c r="BU8" s="40" t="s">
        <v>28</v>
      </c>
      <c r="BV8" s="40"/>
      <c r="BW8" s="40"/>
      <c r="BX8" s="40"/>
      <c r="BY8" s="40"/>
      <c r="BZ8" s="40"/>
      <c r="CA8" s="40"/>
      <c r="CB8" s="40"/>
      <c r="CC8" s="44" t="s">
        <v>29</v>
      </c>
      <c r="CD8" s="44"/>
      <c r="CE8" s="44" t="s">
        <v>30</v>
      </c>
      <c r="CF8" s="44"/>
      <c r="CG8" s="44"/>
      <c r="CH8" s="44" t="s">
        <v>31</v>
      </c>
      <c r="CI8" s="44"/>
      <c r="CJ8" s="44"/>
      <c r="CK8" s="44"/>
      <c r="CL8" s="44" t="s">
        <v>32</v>
      </c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 t="s">
        <v>33</v>
      </c>
      <c r="CZ8" s="44" t="s">
        <v>34</v>
      </c>
      <c r="DA8" s="41" t="s">
        <v>29</v>
      </c>
      <c r="DB8" s="41"/>
      <c r="DC8" s="41" t="s">
        <v>35</v>
      </c>
      <c r="DD8" s="41"/>
      <c r="DE8" s="41" t="s">
        <v>36</v>
      </c>
      <c r="DF8" s="41"/>
      <c r="DG8" s="41" t="s">
        <v>37</v>
      </c>
      <c r="DH8" s="41"/>
      <c r="DI8" s="41"/>
      <c r="DJ8" s="41"/>
      <c r="DK8" s="41"/>
      <c r="DL8" s="41"/>
      <c r="DM8" s="41"/>
      <c r="DN8" s="41" t="s">
        <v>38</v>
      </c>
      <c r="DO8" s="41" t="s">
        <v>34</v>
      </c>
      <c r="DP8" s="42" t="s">
        <v>39</v>
      </c>
      <c r="DQ8" s="42" t="s">
        <v>40</v>
      </c>
      <c r="DR8" s="42"/>
      <c r="DS8" s="42"/>
      <c r="DT8" s="42" t="s">
        <v>41</v>
      </c>
      <c r="DU8" s="42"/>
      <c r="DV8" s="42"/>
      <c r="DW8" s="42" t="s">
        <v>42</v>
      </c>
      <c r="DX8" s="42"/>
      <c r="DY8" s="42"/>
      <c r="DZ8" s="42" t="s">
        <v>43</v>
      </c>
      <c r="EA8" s="42"/>
      <c r="EB8" s="42"/>
      <c r="EC8" s="42" t="s">
        <v>44</v>
      </c>
      <c r="ED8" s="42"/>
      <c r="EE8" s="42"/>
      <c r="EF8" s="42" t="s">
        <v>45</v>
      </c>
      <c r="EG8" s="42"/>
      <c r="EH8" s="42" t="s">
        <v>46</v>
      </c>
      <c r="EI8" s="42"/>
      <c r="EJ8" s="42"/>
      <c r="EK8" s="43" t="s">
        <v>47</v>
      </c>
      <c r="EL8" s="43" t="s">
        <v>48</v>
      </c>
      <c r="EM8" s="43" t="s">
        <v>49</v>
      </c>
      <c r="EN8" s="43" t="s">
        <v>50</v>
      </c>
      <c r="EO8" s="43" t="s">
        <v>51</v>
      </c>
      <c r="EP8" s="43" t="s">
        <v>52</v>
      </c>
      <c r="EQ8" s="43" t="s">
        <v>53</v>
      </c>
      <c r="ER8" s="43" t="s">
        <v>54</v>
      </c>
      <c r="ES8" s="43" t="s">
        <v>55</v>
      </c>
      <c r="ET8" s="43" t="s">
        <v>56</v>
      </c>
      <c r="EU8" s="43" t="s">
        <v>57</v>
      </c>
      <c r="EV8" s="43" t="s">
        <v>58</v>
      </c>
      <c r="EW8" s="2"/>
    </row>
    <row r="9" spans="1:153" ht="12" customHeight="1">
      <c r="A9" s="39"/>
      <c r="B9" s="39"/>
      <c r="C9" s="39" t="s">
        <v>59</v>
      </c>
      <c r="D9" s="39" t="s">
        <v>60</v>
      </c>
      <c r="E9" s="39" t="s">
        <v>61</v>
      </c>
      <c r="F9" s="39" t="s">
        <v>62</v>
      </c>
      <c r="G9" s="39" t="s">
        <v>63</v>
      </c>
      <c r="H9" s="39"/>
      <c r="I9" s="39"/>
      <c r="J9" s="39" t="s">
        <v>64</v>
      </c>
      <c r="K9" s="39"/>
      <c r="L9" s="39"/>
      <c r="M9" s="39" t="s">
        <v>65</v>
      </c>
      <c r="N9" s="39" t="s">
        <v>66</v>
      </c>
      <c r="O9" s="39" t="s">
        <v>67</v>
      </c>
      <c r="P9" s="39" t="s">
        <v>68</v>
      </c>
      <c r="Q9" s="39" t="s">
        <v>69</v>
      </c>
      <c r="R9" s="39" t="s">
        <v>63</v>
      </c>
      <c r="S9" s="39"/>
      <c r="T9" s="39"/>
      <c r="U9" s="39" t="s">
        <v>64</v>
      </c>
      <c r="V9" s="39"/>
      <c r="W9" s="39"/>
      <c r="X9" s="39" t="s">
        <v>65</v>
      </c>
      <c r="Y9" s="39" t="s">
        <v>70</v>
      </c>
      <c r="Z9" s="39"/>
      <c r="AA9" s="39" t="s">
        <v>70</v>
      </c>
      <c r="AB9" s="39"/>
      <c r="AC9" s="39"/>
      <c r="AD9" s="40" t="s">
        <v>71</v>
      </c>
      <c r="AE9" s="40" t="s">
        <v>72</v>
      </c>
      <c r="AF9" s="40"/>
      <c r="AG9" s="40"/>
      <c r="AH9" s="40"/>
      <c r="AI9" s="40"/>
      <c r="AJ9" s="40" t="s">
        <v>73</v>
      </c>
      <c r="AK9" s="40"/>
      <c r="AL9" s="40"/>
      <c r="AM9" s="40" t="s">
        <v>74</v>
      </c>
      <c r="AN9" s="40" t="s">
        <v>75</v>
      </c>
      <c r="AO9" s="40"/>
      <c r="AP9" s="40"/>
      <c r="AQ9" s="40"/>
      <c r="AR9" s="40"/>
      <c r="AS9" s="40"/>
      <c r="AT9" s="40"/>
      <c r="AU9" s="40"/>
      <c r="AV9" s="40"/>
      <c r="AW9" s="40" t="s">
        <v>76</v>
      </c>
      <c r="AX9" s="40"/>
      <c r="AY9" s="40"/>
      <c r="AZ9" s="40" t="s">
        <v>77</v>
      </c>
      <c r="BA9" s="40" t="s">
        <v>78</v>
      </c>
      <c r="BB9" s="40" t="s">
        <v>79</v>
      </c>
      <c r="BC9" s="40"/>
      <c r="BD9" s="40"/>
      <c r="BE9" s="40" t="s">
        <v>80</v>
      </c>
      <c r="BF9" s="40"/>
      <c r="BG9" s="40"/>
      <c r="BH9" s="40"/>
      <c r="BI9" s="40" t="s">
        <v>81</v>
      </c>
      <c r="BJ9" s="40"/>
      <c r="BK9" s="40"/>
      <c r="BL9" s="40" t="s">
        <v>82</v>
      </c>
      <c r="BM9" s="40" t="s">
        <v>80</v>
      </c>
      <c r="BN9" s="40"/>
      <c r="BO9" s="40"/>
      <c r="BP9" s="40"/>
      <c r="BQ9" s="40" t="s">
        <v>81</v>
      </c>
      <c r="BR9" s="40"/>
      <c r="BS9" s="40"/>
      <c r="BT9" s="40" t="s">
        <v>82</v>
      </c>
      <c r="BU9" s="40" t="s">
        <v>80</v>
      </c>
      <c r="BV9" s="40"/>
      <c r="BW9" s="40"/>
      <c r="BX9" s="40"/>
      <c r="BY9" s="40" t="s">
        <v>81</v>
      </c>
      <c r="BZ9" s="40"/>
      <c r="CA9" s="40"/>
      <c r="CB9" s="40" t="s">
        <v>82</v>
      </c>
      <c r="CC9" s="44" t="s">
        <v>83</v>
      </c>
      <c r="CD9" s="44" t="s">
        <v>84</v>
      </c>
      <c r="CE9" s="44" t="s">
        <v>85</v>
      </c>
      <c r="CF9" s="44" t="s">
        <v>86</v>
      </c>
      <c r="CG9" s="44" t="s">
        <v>87</v>
      </c>
      <c r="CH9" s="44" t="s">
        <v>88</v>
      </c>
      <c r="CI9" s="44" t="s">
        <v>89</v>
      </c>
      <c r="CJ9" s="44" t="s">
        <v>90</v>
      </c>
      <c r="CK9" s="44" t="s">
        <v>91</v>
      </c>
      <c r="CL9" s="44" t="s">
        <v>92</v>
      </c>
      <c r="CM9" s="44" t="s">
        <v>93</v>
      </c>
      <c r="CN9" s="44" t="s">
        <v>94</v>
      </c>
      <c r="CO9" s="44" t="s">
        <v>95</v>
      </c>
      <c r="CP9" s="44" t="s">
        <v>96</v>
      </c>
      <c r="CQ9" s="44" t="s">
        <v>97</v>
      </c>
      <c r="CR9" s="44" t="s">
        <v>98</v>
      </c>
      <c r="CS9" s="44" t="s">
        <v>99</v>
      </c>
      <c r="CT9" s="44" t="s">
        <v>100</v>
      </c>
      <c r="CU9" s="44" t="s">
        <v>101</v>
      </c>
      <c r="CV9" s="44" t="s">
        <v>102</v>
      </c>
      <c r="CW9" s="44" t="s">
        <v>103</v>
      </c>
      <c r="CX9" s="44" t="s">
        <v>104</v>
      </c>
      <c r="CY9" s="44"/>
      <c r="CZ9" s="44"/>
      <c r="DA9" s="41" t="s">
        <v>105</v>
      </c>
      <c r="DB9" s="41" t="s">
        <v>106</v>
      </c>
      <c r="DC9" s="41" t="s">
        <v>85</v>
      </c>
      <c r="DD9" s="41" t="s">
        <v>86</v>
      </c>
      <c r="DE9" s="41" t="s">
        <v>107</v>
      </c>
      <c r="DF9" s="41" t="s">
        <v>90</v>
      </c>
      <c r="DG9" s="41" t="s">
        <v>108</v>
      </c>
      <c r="DH9" s="41" t="s">
        <v>109</v>
      </c>
      <c r="DI9" s="41" t="s">
        <v>110</v>
      </c>
      <c r="DJ9" s="41" t="s">
        <v>111</v>
      </c>
      <c r="DK9" s="41" t="s">
        <v>112</v>
      </c>
      <c r="DL9" s="41" t="s">
        <v>113</v>
      </c>
      <c r="DM9" s="41" t="s">
        <v>103</v>
      </c>
      <c r="DN9" s="41"/>
      <c r="DO9" s="41"/>
      <c r="DP9" s="42"/>
      <c r="DQ9" s="42" t="s">
        <v>114</v>
      </c>
      <c r="DR9" s="42" t="s">
        <v>115</v>
      </c>
      <c r="DS9" s="42" t="s">
        <v>116</v>
      </c>
      <c r="DT9" s="42" t="s">
        <v>117</v>
      </c>
      <c r="DU9" s="42" t="s">
        <v>115</v>
      </c>
      <c r="DV9" s="42" t="s">
        <v>116</v>
      </c>
      <c r="DW9" s="42" t="s">
        <v>118</v>
      </c>
      <c r="DX9" s="42" t="s">
        <v>119</v>
      </c>
      <c r="DY9" s="42" t="s">
        <v>120</v>
      </c>
      <c r="DZ9" s="42" t="s">
        <v>118</v>
      </c>
      <c r="EA9" s="42" t="s">
        <v>119</v>
      </c>
      <c r="EB9" s="42" t="s">
        <v>120</v>
      </c>
      <c r="EC9" s="42" t="s">
        <v>118</v>
      </c>
      <c r="ED9" s="42" t="s">
        <v>119</v>
      </c>
      <c r="EE9" s="42" t="s">
        <v>120</v>
      </c>
      <c r="EF9" s="42" t="s">
        <v>121</v>
      </c>
      <c r="EG9" s="42" t="s">
        <v>115</v>
      </c>
      <c r="EH9" s="42" t="s">
        <v>122</v>
      </c>
      <c r="EI9" s="42" t="s">
        <v>123</v>
      </c>
      <c r="EJ9" s="42" t="s">
        <v>124</v>
      </c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2"/>
    </row>
    <row r="10" spans="1:153" ht="66" customHeight="1">
      <c r="A10" s="39"/>
      <c r="B10" s="39"/>
      <c r="C10" s="39"/>
      <c r="D10" s="39"/>
      <c r="E10" s="39"/>
      <c r="F10" s="39"/>
      <c r="G10" s="4" t="s">
        <v>125</v>
      </c>
      <c r="H10" s="4" t="s">
        <v>126</v>
      </c>
      <c r="I10" s="4" t="s">
        <v>127</v>
      </c>
      <c r="J10" s="4" t="s">
        <v>125</v>
      </c>
      <c r="K10" s="4" t="s">
        <v>126</v>
      </c>
      <c r="L10" s="4" t="s">
        <v>127</v>
      </c>
      <c r="M10" s="39"/>
      <c r="N10" s="39"/>
      <c r="O10" s="39"/>
      <c r="P10" s="39"/>
      <c r="Q10" s="39"/>
      <c r="R10" s="4" t="s">
        <v>125</v>
      </c>
      <c r="S10" s="4" t="s">
        <v>126</v>
      </c>
      <c r="T10" s="4" t="s">
        <v>127</v>
      </c>
      <c r="U10" s="4" t="s">
        <v>125</v>
      </c>
      <c r="V10" s="4" t="s">
        <v>126</v>
      </c>
      <c r="W10" s="4" t="s">
        <v>127</v>
      </c>
      <c r="X10" s="39"/>
      <c r="Y10" s="4" t="s">
        <v>128</v>
      </c>
      <c r="Z10" s="4" t="s">
        <v>129</v>
      </c>
      <c r="AA10" s="4" t="s">
        <v>128</v>
      </c>
      <c r="AB10" s="4" t="s">
        <v>129</v>
      </c>
      <c r="AC10" s="39"/>
      <c r="AD10" s="40"/>
      <c r="AE10" s="5" t="s">
        <v>82</v>
      </c>
      <c r="AF10" s="5" t="s">
        <v>130</v>
      </c>
      <c r="AG10" s="5" t="s">
        <v>131</v>
      </c>
      <c r="AH10" s="5" t="s">
        <v>132</v>
      </c>
      <c r="AI10" s="5" t="s">
        <v>133</v>
      </c>
      <c r="AJ10" s="40"/>
      <c r="AK10" s="40"/>
      <c r="AL10" s="40"/>
      <c r="AM10" s="40"/>
      <c r="AN10" s="5" t="s">
        <v>134</v>
      </c>
      <c r="AO10" s="5" t="s">
        <v>135</v>
      </c>
      <c r="AP10" s="5" t="s">
        <v>136</v>
      </c>
      <c r="AQ10" s="5" t="s">
        <v>137</v>
      </c>
      <c r="AR10" s="5" t="s">
        <v>138</v>
      </c>
      <c r="AS10" s="5" t="s">
        <v>139</v>
      </c>
      <c r="AT10" s="5" t="s">
        <v>140</v>
      </c>
      <c r="AU10" s="5" t="s">
        <v>141</v>
      </c>
      <c r="AV10" s="5" t="s">
        <v>142</v>
      </c>
      <c r="AW10" s="5" t="s">
        <v>143</v>
      </c>
      <c r="AX10" s="5" t="s">
        <v>144</v>
      </c>
      <c r="AY10" s="5" t="s">
        <v>82</v>
      </c>
      <c r="AZ10" s="40"/>
      <c r="BA10" s="40"/>
      <c r="BB10" s="40"/>
      <c r="BC10" s="40"/>
      <c r="BD10" s="40"/>
      <c r="BE10" s="5" t="s">
        <v>145</v>
      </c>
      <c r="BF10" s="5" t="s">
        <v>146</v>
      </c>
      <c r="BG10" s="5" t="s">
        <v>147</v>
      </c>
      <c r="BH10" s="5" t="s">
        <v>148</v>
      </c>
      <c r="BI10" s="5" t="s">
        <v>149</v>
      </c>
      <c r="BJ10" s="5" t="s">
        <v>150</v>
      </c>
      <c r="BK10" s="5" t="s">
        <v>151</v>
      </c>
      <c r="BL10" s="40"/>
      <c r="BM10" s="5" t="s">
        <v>145</v>
      </c>
      <c r="BN10" s="5" t="s">
        <v>146</v>
      </c>
      <c r="BO10" s="5" t="s">
        <v>147</v>
      </c>
      <c r="BP10" s="5" t="s">
        <v>148</v>
      </c>
      <c r="BQ10" s="5" t="s">
        <v>149</v>
      </c>
      <c r="BR10" s="5" t="s">
        <v>150</v>
      </c>
      <c r="BS10" s="5" t="s">
        <v>151</v>
      </c>
      <c r="BT10" s="40"/>
      <c r="BU10" s="5" t="s">
        <v>145</v>
      </c>
      <c r="BV10" s="5" t="s">
        <v>146</v>
      </c>
      <c r="BW10" s="5" t="s">
        <v>147</v>
      </c>
      <c r="BX10" s="5" t="s">
        <v>148</v>
      </c>
      <c r="BY10" s="5" t="s">
        <v>149</v>
      </c>
      <c r="BZ10" s="5" t="s">
        <v>150</v>
      </c>
      <c r="CA10" s="5" t="s">
        <v>151</v>
      </c>
      <c r="CB10" s="40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2"/>
    </row>
    <row r="11" spans="1:153" ht="12" customHeight="1">
      <c r="A11" s="6" t="s">
        <v>152</v>
      </c>
      <c r="B11" s="6" t="s">
        <v>153</v>
      </c>
      <c r="C11" s="6" t="s">
        <v>153</v>
      </c>
      <c r="D11" s="6" t="s">
        <v>152</v>
      </c>
      <c r="E11" s="6" t="s">
        <v>154</v>
      </c>
      <c r="F11" s="6" t="s">
        <v>155</v>
      </c>
      <c r="G11" s="6" t="s">
        <v>153</v>
      </c>
      <c r="H11" s="6" t="s">
        <v>153</v>
      </c>
      <c r="I11" s="6" t="s">
        <v>153</v>
      </c>
      <c r="J11" s="6" t="s">
        <v>153</v>
      </c>
      <c r="K11" s="6" t="s">
        <v>153</v>
      </c>
      <c r="L11" s="6" t="s">
        <v>153</v>
      </c>
      <c r="M11" s="6" t="s">
        <v>156</v>
      </c>
      <c r="N11" s="6" t="s">
        <v>153</v>
      </c>
      <c r="O11" s="6" t="s">
        <v>152</v>
      </c>
      <c r="P11" s="6" t="s">
        <v>154</v>
      </c>
      <c r="Q11" s="6" t="s">
        <v>155</v>
      </c>
      <c r="R11" s="6" t="s">
        <v>153</v>
      </c>
      <c r="S11" s="6" t="s">
        <v>153</v>
      </c>
      <c r="T11" s="6" t="s">
        <v>153</v>
      </c>
      <c r="U11" s="6" t="s">
        <v>153</v>
      </c>
      <c r="V11" s="6" t="s">
        <v>153</v>
      </c>
      <c r="W11" s="6" t="s">
        <v>153</v>
      </c>
      <c r="X11" s="6" t="s">
        <v>156</v>
      </c>
      <c r="Y11" s="6" t="s">
        <v>157</v>
      </c>
      <c r="Z11" s="6" t="s">
        <v>157</v>
      </c>
      <c r="AA11" s="6" t="s">
        <v>157</v>
      </c>
      <c r="AB11" s="6" t="s">
        <v>157</v>
      </c>
      <c r="AC11" s="6" t="s">
        <v>158</v>
      </c>
      <c r="AD11" s="7" t="s">
        <v>159</v>
      </c>
      <c r="AE11" s="7" t="s">
        <v>159</v>
      </c>
      <c r="AF11" s="7" t="s">
        <v>159</v>
      </c>
      <c r="AG11" s="7" t="s">
        <v>159</v>
      </c>
      <c r="AH11" s="7" t="s">
        <v>159</v>
      </c>
      <c r="AI11" s="7" t="s">
        <v>159</v>
      </c>
      <c r="AJ11" s="7" t="s">
        <v>159</v>
      </c>
      <c r="AK11" s="7" t="s">
        <v>159</v>
      </c>
      <c r="AL11" s="7" t="s">
        <v>159</v>
      </c>
      <c r="AM11" s="7" t="s">
        <v>159</v>
      </c>
      <c r="AN11" s="7" t="s">
        <v>159</v>
      </c>
      <c r="AO11" s="7" t="s">
        <v>159</v>
      </c>
      <c r="AP11" s="7" t="s">
        <v>159</v>
      </c>
      <c r="AQ11" s="7" t="s">
        <v>159</v>
      </c>
      <c r="AR11" s="7" t="s">
        <v>159</v>
      </c>
      <c r="AS11" s="7" t="s">
        <v>159</v>
      </c>
      <c r="AT11" s="7" t="s">
        <v>159</v>
      </c>
      <c r="AU11" s="7" t="s">
        <v>159</v>
      </c>
      <c r="AV11" s="7" t="s">
        <v>159</v>
      </c>
      <c r="AW11" s="7" t="s">
        <v>159</v>
      </c>
      <c r="AX11" s="7" t="s">
        <v>159</v>
      </c>
      <c r="AY11" s="7" t="s">
        <v>159</v>
      </c>
      <c r="AZ11" s="7" t="s">
        <v>159</v>
      </c>
      <c r="BA11" s="7" t="s">
        <v>159</v>
      </c>
      <c r="BB11" s="7" t="s">
        <v>159</v>
      </c>
      <c r="BC11" s="7" t="s">
        <v>159</v>
      </c>
      <c r="BD11" s="7" t="s">
        <v>159</v>
      </c>
      <c r="BE11" s="7" t="s">
        <v>159</v>
      </c>
      <c r="BF11" s="7" t="s">
        <v>159</v>
      </c>
      <c r="BG11" s="7" t="s">
        <v>159</v>
      </c>
      <c r="BH11" s="7" t="s">
        <v>159</v>
      </c>
      <c r="BI11" s="7" t="s">
        <v>159</v>
      </c>
      <c r="BJ11" s="7" t="s">
        <v>159</v>
      </c>
      <c r="BK11" s="7" t="s">
        <v>159</v>
      </c>
      <c r="BL11" s="7" t="s">
        <v>159</v>
      </c>
      <c r="BM11" s="7" t="s">
        <v>159</v>
      </c>
      <c r="BN11" s="7" t="s">
        <v>159</v>
      </c>
      <c r="BO11" s="7" t="s">
        <v>159</v>
      </c>
      <c r="BP11" s="7" t="s">
        <v>159</v>
      </c>
      <c r="BQ11" s="7" t="s">
        <v>159</v>
      </c>
      <c r="BR11" s="7" t="s">
        <v>159</v>
      </c>
      <c r="BS11" s="7" t="s">
        <v>159</v>
      </c>
      <c r="BT11" s="7" t="s">
        <v>159</v>
      </c>
      <c r="BU11" s="7" t="s">
        <v>159</v>
      </c>
      <c r="BV11" s="7" t="s">
        <v>159</v>
      </c>
      <c r="BW11" s="7" t="s">
        <v>159</v>
      </c>
      <c r="BX11" s="7" t="s">
        <v>159</v>
      </c>
      <c r="BY11" s="7" t="s">
        <v>159</v>
      </c>
      <c r="BZ11" s="7" t="s">
        <v>159</v>
      </c>
      <c r="CA11" s="7" t="s">
        <v>159</v>
      </c>
      <c r="CB11" s="7" t="s">
        <v>159</v>
      </c>
      <c r="CC11" s="8" t="s">
        <v>157</v>
      </c>
      <c r="CD11" s="8" t="s">
        <v>157</v>
      </c>
      <c r="CE11" s="8" t="s">
        <v>160</v>
      </c>
      <c r="CF11" s="8" t="s">
        <v>160</v>
      </c>
      <c r="CG11" s="8" t="s">
        <v>160</v>
      </c>
      <c r="CH11" s="8" t="s">
        <v>161</v>
      </c>
      <c r="CI11" s="8" t="s">
        <v>161</v>
      </c>
      <c r="CJ11" s="8" t="s">
        <v>161</v>
      </c>
      <c r="CK11" s="8" t="s">
        <v>161</v>
      </c>
      <c r="CL11" s="8" t="s">
        <v>162</v>
      </c>
      <c r="CM11" s="8" t="s">
        <v>162</v>
      </c>
      <c r="CN11" s="8" t="s">
        <v>162</v>
      </c>
      <c r="CO11" s="8" t="s">
        <v>162</v>
      </c>
      <c r="CP11" s="8" t="s">
        <v>162</v>
      </c>
      <c r="CQ11" s="8" t="s">
        <v>162</v>
      </c>
      <c r="CR11" s="8" t="s">
        <v>162</v>
      </c>
      <c r="CS11" s="8" t="s">
        <v>162</v>
      </c>
      <c r="CT11" s="8" t="s">
        <v>162</v>
      </c>
      <c r="CU11" s="8" t="s">
        <v>162</v>
      </c>
      <c r="CV11" s="8" t="s">
        <v>162</v>
      </c>
      <c r="CW11" s="8" t="s">
        <v>162</v>
      </c>
      <c r="CX11" s="8" t="s">
        <v>162</v>
      </c>
      <c r="CY11" s="8" t="s">
        <v>163</v>
      </c>
      <c r="CZ11" s="8" t="s">
        <v>164</v>
      </c>
      <c r="DA11" s="9" t="s">
        <v>157</v>
      </c>
      <c r="DB11" s="9" t="s">
        <v>157</v>
      </c>
      <c r="DC11" s="9" t="s">
        <v>160</v>
      </c>
      <c r="DD11" s="9" t="s">
        <v>160</v>
      </c>
      <c r="DE11" s="9" t="s">
        <v>161</v>
      </c>
      <c r="DF11" s="9" t="s">
        <v>161</v>
      </c>
      <c r="DG11" s="9" t="s">
        <v>162</v>
      </c>
      <c r="DH11" s="9" t="s">
        <v>162</v>
      </c>
      <c r="DI11" s="9" t="s">
        <v>164</v>
      </c>
      <c r="DJ11" s="9" t="s">
        <v>164</v>
      </c>
      <c r="DK11" s="9" t="s">
        <v>162</v>
      </c>
      <c r="DL11" s="9" t="s">
        <v>162</v>
      </c>
      <c r="DM11" s="9" t="s">
        <v>162</v>
      </c>
      <c r="DN11" s="9" t="s">
        <v>163</v>
      </c>
      <c r="DO11" s="9" t="s">
        <v>164</v>
      </c>
      <c r="DP11" s="10" t="s">
        <v>152</v>
      </c>
      <c r="DQ11" s="10" t="s">
        <v>165</v>
      </c>
      <c r="DR11" s="10" t="s">
        <v>166</v>
      </c>
      <c r="DS11" s="10" t="s">
        <v>167</v>
      </c>
      <c r="DT11" s="10" t="s">
        <v>168</v>
      </c>
      <c r="DU11" s="10" t="s">
        <v>166</v>
      </c>
      <c r="DV11" s="10" t="s">
        <v>167</v>
      </c>
      <c r="DW11" s="10" t="s">
        <v>169</v>
      </c>
      <c r="DX11" s="10" t="s">
        <v>169</v>
      </c>
      <c r="DY11" s="10" t="s">
        <v>169</v>
      </c>
      <c r="DZ11" s="10" t="s">
        <v>169</v>
      </c>
      <c r="EA11" s="10" t="s">
        <v>169</v>
      </c>
      <c r="EB11" s="10" t="s">
        <v>169</v>
      </c>
      <c r="EC11" s="10" t="s">
        <v>169</v>
      </c>
      <c r="ED11" s="10" t="s">
        <v>169</v>
      </c>
      <c r="EE11" s="10" t="s">
        <v>169</v>
      </c>
      <c r="EF11" s="10" t="s">
        <v>170</v>
      </c>
      <c r="EG11" s="10" t="s">
        <v>166</v>
      </c>
      <c r="EH11" s="10" t="s">
        <v>171</v>
      </c>
      <c r="EI11" s="10" t="s">
        <v>172</v>
      </c>
      <c r="EJ11" s="10" t="s">
        <v>166</v>
      </c>
      <c r="EK11" s="11" t="s">
        <v>164</v>
      </c>
      <c r="EL11" s="11" t="s">
        <v>164</v>
      </c>
      <c r="EM11" s="11" t="s">
        <v>164</v>
      </c>
      <c r="EN11" s="11" t="s">
        <v>164</v>
      </c>
      <c r="EO11" s="11" t="s">
        <v>164</v>
      </c>
      <c r="EP11" s="11" t="s">
        <v>164</v>
      </c>
      <c r="EQ11" s="11" t="s">
        <v>164</v>
      </c>
      <c r="ER11" s="11" t="s">
        <v>164</v>
      </c>
      <c r="ES11" s="11" t="s">
        <v>164</v>
      </c>
      <c r="ET11" s="11" t="s">
        <v>164</v>
      </c>
      <c r="EU11" s="11" t="s">
        <v>164</v>
      </c>
      <c r="EV11" s="11" t="s">
        <v>164</v>
      </c>
      <c r="EW11" s="2"/>
    </row>
    <row r="12" spans="1:153" ht="12.95" customHeight="1">
      <c r="A12" s="6" t="s">
        <v>152</v>
      </c>
      <c r="B12" s="12" t="s">
        <v>173</v>
      </c>
      <c r="C12" s="12" t="s">
        <v>174</v>
      </c>
      <c r="D12" s="12" t="s">
        <v>175</v>
      </c>
      <c r="E12" s="12" t="s">
        <v>176</v>
      </c>
      <c r="F12" s="12" t="s">
        <v>177</v>
      </c>
      <c r="G12" s="12" t="s">
        <v>178</v>
      </c>
      <c r="H12" s="12" t="s">
        <v>179</v>
      </c>
      <c r="I12" s="12" t="s">
        <v>180</v>
      </c>
      <c r="J12" s="12" t="s">
        <v>181</v>
      </c>
      <c r="K12" s="12" t="s">
        <v>182</v>
      </c>
      <c r="L12" s="12" t="s">
        <v>183</v>
      </c>
      <c r="M12" s="12" t="s">
        <v>184</v>
      </c>
      <c r="N12" s="12" t="s">
        <v>185</v>
      </c>
      <c r="O12" s="12" t="s">
        <v>186</v>
      </c>
      <c r="P12" s="12" t="s">
        <v>187</v>
      </c>
      <c r="Q12" s="12" t="s">
        <v>188</v>
      </c>
      <c r="R12" s="12" t="s">
        <v>189</v>
      </c>
      <c r="S12" s="12" t="s">
        <v>190</v>
      </c>
      <c r="T12" s="12" t="s">
        <v>191</v>
      </c>
      <c r="U12" s="12" t="s">
        <v>192</v>
      </c>
      <c r="V12" s="12" t="s">
        <v>193</v>
      </c>
      <c r="W12" s="12" t="s">
        <v>194</v>
      </c>
      <c r="X12" s="12" t="s">
        <v>195</v>
      </c>
      <c r="Y12" s="12" t="s">
        <v>196</v>
      </c>
      <c r="Z12" s="12" t="s">
        <v>197</v>
      </c>
      <c r="AA12" s="12" t="s">
        <v>198</v>
      </c>
      <c r="AB12" s="12" t="s">
        <v>199</v>
      </c>
      <c r="AC12" s="12" t="s">
        <v>200</v>
      </c>
      <c r="AD12" s="13" t="s">
        <v>201</v>
      </c>
      <c r="AE12" s="13" t="s">
        <v>202</v>
      </c>
      <c r="AF12" s="13" t="s">
        <v>203</v>
      </c>
      <c r="AG12" s="13" t="s">
        <v>204</v>
      </c>
      <c r="AH12" s="13" t="s">
        <v>205</v>
      </c>
      <c r="AI12" s="13" t="s">
        <v>206</v>
      </c>
      <c r="AJ12" s="13" t="s">
        <v>207</v>
      </c>
      <c r="AK12" s="13" t="s">
        <v>208</v>
      </c>
      <c r="AL12" s="13" t="s">
        <v>209</v>
      </c>
      <c r="AM12" s="13" t="s">
        <v>210</v>
      </c>
      <c r="AN12" s="13" t="s">
        <v>211</v>
      </c>
      <c r="AO12" s="13" t="s">
        <v>212</v>
      </c>
      <c r="AP12" s="13" t="s">
        <v>213</v>
      </c>
      <c r="AQ12" s="13" t="s">
        <v>214</v>
      </c>
      <c r="AR12" s="13" t="s">
        <v>215</v>
      </c>
      <c r="AS12" s="13" t="s">
        <v>216</v>
      </c>
      <c r="AT12" s="13" t="s">
        <v>217</v>
      </c>
      <c r="AU12" s="13" t="s">
        <v>218</v>
      </c>
      <c r="AV12" s="13" t="s">
        <v>219</v>
      </c>
      <c r="AW12" s="13" t="s">
        <v>220</v>
      </c>
      <c r="AX12" s="13" t="s">
        <v>221</v>
      </c>
      <c r="AY12" s="13" t="s">
        <v>222</v>
      </c>
      <c r="AZ12" s="13" t="s">
        <v>223</v>
      </c>
      <c r="BA12" s="13" t="s">
        <v>224</v>
      </c>
      <c r="BB12" s="13" t="s">
        <v>225</v>
      </c>
      <c r="BC12" s="13" t="s">
        <v>226</v>
      </c>
      <c r="BD12" s="13" t="s">
        <v>227</v>
      </c>
      <c r="BE12" s="13" t="s">
        <v>228</v>
      </c>
      <c r="BF12" s="13" t="s">
        <v>229</v>
      </c>
      <c r="BG12" s="13" t="s">
        <v>230</v>
      </c>
      <c r="BH12" s="13" t="s">
        <v>231</v>
      </c>
      <c r="BI12" s="13" t="s">
        <v>232</v>
      </c>
      <c r="BJ12" s="13" t="s">
        <v>233</v>
      </c>
      <c r="BK12" s="13" t="s">
        <v>234</v>
      </c>
      <c r="BL12" s="13" t="s">
        <v>235</v>
      </c>
      <c r="BM12" s="13" t="s">
        <v>236</v>
      </c>
      <c r="BN12" s="13" t="s">
        <v>237</v>
      </c>
      <c r="BO12" s="13" t="s">
        <v>238</v>
      </c>
      <c r="BP12" s="13" t="s">
        <v>239</v>
      </c>
      <c r="BQ12" s="13" t="s">
        <v>240</v>
      </c>
      <c r="BR12" s="13" t="s">
        <v>241</v>
      </c>
      <c r="BS12" s="13" t="s">
        <v>242</v>
      </c>
      <c r="BT12" s="13" t="s">
        <v>243</v>
      </c>
      <c r="BU12" s="13" t="s">
        <v>244</v>
      </c>
      <c r="BV12" s="13" t="s">
        <v>245</v>
      </c>
      <c r="BW12" s="13" t="s">
        <v>246</v>
      </c>
      <c r="BX12" s="13" t="s">
        <v>247</v>
      </c>
      <c r="BY12" s="13" t="s">
        <v>248</v>
      </c>
      <c r="BZ12" s="13" t="s">
        <v>249</v>
      </c>
      <c r="CA12" s="13" t="s">
        <v>250</v>
      </c>
      <c r="CB12" s="13" t="s">
        <v>251</v>
      </c>
      <c r="CC12" s="14" t="s">
        <v>252</v>
      </c>
      <c r="CD12" s="14" t="s">
        <v>253</v>
      </c>
      <c r="CE12" s="14" t="s">
        <v>254</v>
      </c>
      <c r="CF12" s="14" t="s">
        <v>255</v>
      </c>
      <c r="CG12" s="14" t="s">
        <v>256</v>
      </c>
      <c r="CH12" s="14" t="s">
        <v>257</v>
      </c>
      <c r="CI12" s="14" t="s">
        <v>258</v>
      </c>
      <c r="CJ12" s="14" t="s">
        <v>259</v>
      </c>
      <c r="CK12" s="14" t="s">
        <v>260</v>
      </c>
      <c r="CL12" s="14" t="s">
        <v>261</v>
      </c>
      <c r="CM12" s="14" t="s">
        <v>262</v>
      </c>
      <c r="CN12" s="14" t="s">
        <v>263</v>
      </c>
      <c r="CO12" s="14" t="s">
        <v>264</v>
      </c>
      <c r="CP12" s="14" t="s">
        <v>265</v>
      </c>
      <c r="CQ12" s="14" t="s">
        <v>266</v>
      </c>
      <c r="CR12" s="14" t="s">
        <v>267</v>
      </c>
      <c r="CS12" s="14" t="s">
        <v>268</v>
      </c>
      <c r="CT12" s="14" t="s">
        <v>269</v>
      </c>
      <c r="CU12" s="14" t="s">
        <v>270</v>
      </c>
      <c r="CV12" s="14" t="s">
        <v>271</v>
      </c>
      <c r="CW12" s="14" t="s">
        <v>272</v>
      </c>
      <c r="CX12" s="14" t="s">
        <v>273</v>
      </c>
      <c r="CY12" s="14" t="s">
        <v>274</v>
      </c>
      <c r="CZ12" s="14" t="s">
        <v>275</v>
      </c>
      <c r="DA12" s="15" t="s">
        <v>276</v>
      </c>
      <c r="DB12" s="15" t="s">
        <v>277</v>
      </c>
      <c r="DC12" s="15" t="s">
        <v>278</v>
      </c>
      <c r="DD12" s="15" t="s">
        <v>279</v>
      </c>
      <c r="DE12" s="15" t="s">
        <v>280</v>
      </c>
      <c r="DF12" s="15" t="s">
        <v>281</v>
      </c>
      <c r="DG12" s="15" t="s">
        <v>282</v>
      </c>
      <c r="DH12" s="15" t="s">
        <v>283</v>
      </c>
      <c r="DI12" s="15" t="s">
        <v>284</v>
      </c>
      <c r="DJ12" s="15" t="s">
        <v>285</v>
      </c>
      <c r="DK12" s="15" t="s">
        <v>286</v>
      </c>
      <c r="DL12" s="15" t="s">
        <v>287</v>
      </c>
      <c r="DM12" s="15" t="s">
        <v>288</v>
      </c>
      <c r="DN12" s="15" t="s">
        <v>289</v>
      </c>
      <c r="DO12" s="15" t="s">
        <v>290</v>
      </c>
      <c r="DP12" s="16" t="s">
        <v>291</v>
      </c>
      <c r="DQ12" s="16" t="s">
        <v>292</v>
      </c>
      <c r="DR12" s="16" t="s">
        <v>293</v>
      </c>
      <c r="DS12" s="16" t="s">
        <v>294</v>
      </c>
      <c r="DT12" s="16" t="s">
        <v>295</v>
      </c>
      <c r="DU12" s="16" t="s">
        <v>296</v>
      </c>
      <c r="DV12" s="16" t="s">
        <v>297</v>
      </c>
      <c r="DW12" s="16" t="s">
        <v>298</v>
      </c>
      <c r="DX12" s="16" t="s">
        <v>299</v>
      </c>
      <c r="DY12" s="16" t="s">
        <v>300</v>
      </c>
      <c r="DZ12" s="16" t="s">
        <v>301</v>
      </c>
      <c r="EA12" s="16" t="s">
        <v>302</v>
      </c>
      <c r="EB12" s="16" t="s">
        <v>303</v>
      </c>
      <c r="EC12" s="16" t="s">
        <v>304</v>
      </c>
      <c r="ED12" s="16" t="s">
        <v>305</v>
      </c>
      <c r="EE12" s="16" t="s">
        <v>306</v>
      </c>
      <c r="EF12" s="16" t="s">
        <v>307</v>
      </c>
      <c r="EG12" s="16" t="s">
        <v>308</v>
      </c>
      <c r="EH12" s="16" t="s">
        <v>309</v>
      </c>
      <c r="EI12" s="16" t="s">
        <v>310</v>
      </c>
      <c r="EJ12" s="16" t="s">
        <v>311</v>
      </c>
      <c r="EK12" s="17" t="s">
        <v>312</v>
      </c>
      <c r="EL12" s="17" t="s">
        <v>313</v>
      </c>
      <c r="EM12" s="17" t="s">
        <v>314</v>
      </c>
      <c r="EN12" s="17" t="s">
        <v>315</v>
      </c>
      <c r="EO12" s="17" t="s">
        <v>316</v>
      </c>
      <c r="EP12" s="17" t="s">
        <v>317</v>
      </c>
      <c r="EQ12" s="17" t="s">
        <v>318</v>
      </c>
      <c r="ER12" s="17" t="s">
        <v>319</v>
      </c>
      <c r="ES12" s="17" t="s">
        <v>320</v>
      </c>
      <c r="ET12" s="17" t="s">
        <v>321</v>
      </c>
      <c r="EU12" s="17" t="s">
        <v>322</v>
      </c>
      <c r="EV12" s="17" t="s">
        <v>323</v>
      </c>
      <c r="EW12" s="2"/>
    </row>
    <row r="13" spans="1:153" ht="12" customHeight="1">
      <c r="A13" s="46" t="s">
        <v>324</v>
      </c>
      <c r="B13" s="46"/>
      <c r="C13" s="46"/>
      <c r="D13" s="46"/>
      <c r="E13" s="46"/>
      <c r="F13" s="46"/>
      <c r="G13" s="46"/>
      <c r="H13" s="4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</row>
    <row r="14" spans="1:153" ht="12" customHeight="1">
      <c r="A14" s="1" t="s">
        <v>325</v>
      </c>
      <c r="B14" s="19">
        <v>22</v>
      </c>
      <c r="C14" s="19">
        <v>22</v>
      </c>
      <c r="D14" s="1" t="s">
        <v>4</v>
      </c>
      <c r="E14" s="19">
        <v>22</v>
      </c>
      <c r="F14" s="19">
        <v>4</v>
      </c>
      <c r="G14" s="20">
        <v>21</v>
      </c>
      <c r="H14" s="20">
        <v>0</v>
      </c>
      <c r="I14" s="20">
        <v>0</v>
      </c>
      <c r="J14" s="20">
        <v>0</v>
      </c>
      <c r="K14" s="20">
        <v>0</v>
      </c>
      <c r="L14" s="20" t="s">
        <v>4</v>
      </c>
      <c r="M14" s="21" t="s">
        <v>4</v>
      </c>
      <c r="N14" s="19">
        <v>2</v>
      </c>
      <c r="O14" s="1" t="s">
        <v>4</v>
      </c>
      <c r="P14" s="19">
        <v>2</v>
      </c>
      <c r="Q14" s="19">
        <v>1</v>
      </c>
      <c r="R14" s="20" t="s">
        <v>4</v>
      </c>
      <c r="S14" s="20" t="s">
        <v>4</v>
      </c>
      <c r="T14" s="20" t="s">
        <v>4</v>
      </c>
      <c r="U14" s="20">
        <v>21</v>
      </c>
      <c r="V14" s="20">
        <v>0</v>
      </c>
      <c r="W14" s="20" t="s">
        <v>4</v>
      </c>
      <c r="X14" s="21" t="s">
        <v>4</v>
      </c>
      <c r="Y14" s="19">
        <v>830018</v>
      </c>
      <c r="Z14" s="45" t="s">
        <v>326</v>
      </c>
      <c r="AA14" s="19">
        <v>384050</v>
      </c>
      <c r="AB14" s="45" t="s">
        <v>326</v>
      </c>
      <c r="AC14" s="19">
        <v>823</v>
      </c>
      <c r="AD14" s="22">
        <v>75069577.519999996</v>
      </c>
      <c r="AE14" s="22">
        <v>74598844.390000001</v>
      </c>
      <c r="AF14" s="22">
        <v>63703231.799999997</v>
      </c>
      <c r="AG14" s="22">
        <v>10895612.59</v>
      </c>
      <c r="AH14" s="22">
        <v>0</v>
      </c>
      <c r="AI14" s="22">
        <v>0</v>
      </c>
      <c r="AJ14" s="22">
        <v>470733.13</v>
      </c>
      <c r="AK14" s="22">
        <v>25152026.699999999</v>
      </c>
      <c r="AL14" s="20" t="s">
        <v>4</v>
      </c>
      <c r="AM14" s="22">
        <v>163507212.25999999</v>
      </c>
      <c r="AN14" s="22">
        <v>149836688.13999999</v>
      </c>
      <c r="AO14" s="22">
        <v>50561359.090000004</v>
      </c>
      <c r="AP14" s="22">
        <v>29468216.09</v>
      </c>
      <c r="AQ14" s="22">
        <v>28158212.260000002</v>
      </c>
      <c r="AR14" s="22">
        <v>34983273.530000001</v>
      </c>
      <c r="AS14" s="22">
        <v>0</v>
      </c>
      <c r="AT14" s="22">
        <v>0</v>
      </c>
      <c r="AU14" s="22">
        <v>471003.22</v>
      </c>
      <c r="AV14" s="22">
        <v>6194623.9500000002</v>
      </c>
      <c r="AW14" s="22">
        <v>602188.96</v>
      </c>
      <c r="AX14" s="22">
        <v>1000</v>
      </c>
      <c r="AY14" s="22">
        <v>603188.96</v>
      </c>
      <c r="AZ14" s="22">
        <v>2216561.48</v>
      </c>
      <c r="BA14" s="22">
        <v>0</v>
      </c>
      <c r="BB14" s="22">
        <v>10850773.68</v>
      </c>
      <c r="BC14" s="22">
        <v>1158489</v>
      </c>
      <c r="BD14" s="22">
        <v>1761677.96</v>
      </c>
      <c r="BE14" s="22">
        <v>0</v>
      </c>
      <c r="BF14" s="22">
        <v>141699.99</v>
      </c>
      <c r="BG14" s="22">
        <v>0</v>
      </c>
      <c r="BH14" s="22">
        <v>302990.90999999997</v>
      </c>
      <c r="BI14" s="22">
        <v>444690.9</v>
      </c>
      <c r="BJ14" s="22">
        <v>0</v>
      </c>
      <c r="BK14" s="22">
        <v>0</v>
      </c>
      <c r="BL14" s="22">
        <v>444690.9</v>
      </c>
      <c r="BM14" s="22">
        <v>0</v>
      </c>
      <c r="BN14" s="22">
        <v>0</v>
      </c>
      <c r="BO14" s="22">
        <v>0</v>
      </c>
      <c r="BP14" s="22">
        <v>0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2">
        <v>1092263.8899999999</v>
      </c>
      <c r="BW14" s="22">
        <v>0</v>
      </c>
      <c r="BX14" s="22">
        <v>1227176.3799999999</v>
      </c>
      <c r="BY14" s="22">
        <v>2319440.27</v>
      </c>
      <c r="BZ14" s="22">
        <v>0</v>
      </c>
      <c r="CA14" s="22">
        <v>0</v>
      </c>
      <c r="CB14" s="22">
        <v>2319440.27</v>
      </c>
      <c r="CC14" s="19">
        <v>398459</v>
      </c>
      <c r="CD14" s="45" t="s">
        <v>326</v>
      </c>
      <c r="CE14" s="19">
        <v>144627</v>
      </c>
      <c r="CF14" s="19">
        <v>114943</v>
      </c>
      <c r="CG14" s="19">
        <v>64198</v>
      </c>
      <c r="CH14" s="19">
        <v>134222</v>
      </c>
      <c r="CI14" s="19">
        <v>68167</v>
      </c>
      <c r="CJ14" s="19">
        <v>120353</v>
      </c>
      <c r="CK14" s="19">
        <v>64929</v>
      </c>
      <c r="CL14" s="22">
        <v>70326.41</v>
      </c>
      <c r="CM14" s="22">
        <v>31865.15</v>
      </c>
      <c r="CN14" s="22">
        <v>2729.75</v>
      </c>
      <c r="CO14" s="22">
        <v>0</v>
      </c>
      <c r="CP14" s="22">
        <v>0</v>
      </c>
      <c r="CQ14" s="22">
        <v>0</v>
      </c>
      <c r="CR14" s="22">
        <v>62898.77</v>
      </c>
      <c r="CS14" s="22">
        <v>4003.1</v>
      </c>
      <c r="CT14" s="22">
        <v>0</v>
      </c>
      <c r="CU14" s="22">
        <v>13866.82</v>
      </c>
      <c r="CV14" s="22">
        <v>22570.03</v>
      </c>
      <c r="CW14" s="22">
        <v>22698.06</v>
      </c>
      <c r="CX14" s="22">
        <v>10134.32</v>
      </c>
      <c r="CY14" s="22">
        <v>2177.13</v>
      </c>
      <c r="CZ14" s="22">
        <v>48063.86</v>
      </c>
      <c r="DA14" s="19">
        <v>87383</v>
      </c>
      <c r="DB14" s="45" t="s">
        <v>326</v>
      </c>
      <c r="DC14" s="19">
        <v>35534</v>
      </c>
      <c r="DD14" s="19">
        <v>29916</v>
      </c>
      <c r="DE14" s="19">
        <v>30534</v>
      </c>
      <c r="DF14" s="20" t="s">
        <v>4</v>
      </c>
      <c r="DG14" s="22">
        <v>7479.4</v>
      </c>
      <c r="DH14" s="22">
        <v>643.86</v>
      </c>
      <c r="DI14" s="22">
        <v>0</v>
      </c>
      <c r="DJ14" s="22">
        <v>0</v>
      </c>
      <c r="DK14" s="22">
        <v>0</v>
      </c>
      <c r="DL14" s="22">
        <v>0</v>
      </c>
      <c r="DM14" s="22">
        <v>3380.75</v>
      </c>
      <c r="DN14" s="22">
        <v>644.77</v>
      </c>
      <c r="DO14" s="22">
        <v>273.79000000000002</v>
      </c>
      <c r="DP14" s="1"/>
      <c r="DQ14" s="19">
        <v>182</v>
      </c>
      <c r="DR14" s="19">
        <v>1631</v>
      </c>
      <c r="DS14" s="20">
        <v>11200</v>
      </c>
      <c r="DT14" s="19">
        <v>180</v>
      </c>
      <c r="DU14" s="22">
        <v>1758</v>
      </c>
      <c r="DV14" s="20">
        <v>11200</v>
      </c>
      <c r="DW14" s="19">
        <v>107340</v>
      </c>
      <c r="DX14" s="19">
        <v>90741</v>
      </c>
      <c r="DY14" s="19">
        <v>549</v>
      </c>
      <c r="DZ14" s="19">
        <v>107341</v>
      </c>
      <c r="EA14" s="19">
        <v>18491</v>
      </c>
      <c r="EB14" s="19">
        <v>6129</v>
      </c>
      <c r="EC14" s="19">
        <v>9456</v>
      </c>
      <c r="ED14" s="19">
        <v>6099</v>
      </c>
      <c r="EE14" s="19">
        <v>423</v>
      </c>
      <c r="EF14" s="20">
        <v>0</v>
      </c>
      <c r="EG14" s="20" t="s">
        <v>4</v>
      </c>
      <c r="EH14" s="19">
        <v>41736</v>
      </c>
      <c r="EI14" s="19">
        <v>21002</v>
      </c>
      <c r="EJ14" s="20" t="s">
        <v>4</v>
      </c>
      <c r="EK14" s="20" t="s">
        <v>4</v>
      </c>
      <c r="EL14" s="20" t="s">
        <v>4</v>
      </c>
      <c r="EM14" s="20" t="s">
        <v>4</v>
      </c>
      <c r="EN14" s="20" t="s">
        <v>4</v>
      </c>
      <c r="EO14" s="20" t="s">
        <v>4</v>
      </c>
      <c r="EP14" s="20" t="s">
        <v>4</v>
      </c>
      <c r="EQ14" s="20" t="s">
        <v>4</v>
      </c>
      <c r="ER14" s="20" t="s">
        <v>4</v>
      </c>
      <c r="ES14" s="20" t="s">
        <v>4</v>
      </c>
      <c r="ET14" s="20" t="s">
        <v>4</v>
      </c>
      <c r="EU14" s="20" t="s">
        <v>4</v>
      </c>
      <c r="EV14" s="20" t="s">
        <v>4</v>
      </c>
      <c r="EW14" s="2"/>
    </row>
    <row r="15" spans="1:153" ht="12" customHeight="1">
      <c r="A15" s="1" t="s">
        <v>327</v>
      </c>
      <c r="B15" s="19">
        <v>16</v>
      </c>
      <c r="C15" s="19">
        <v>16</v>
      </c>
      <c r="D15" s="1" t="s">
        <v>4</v>
      </c>
      <c r="E15" s="19">
        <v>16</v>
      </c>
      <c r="F15" s="19">
        <v>16</v>
      </c>
      <c r="G15" s="20">
        <v>16</v>
      </c>
      <c r="H15" s="20">
        <v>0</v>
      </c>
      <c r="I15" s="20">
        <v>16</v>
      </c>
      <c r="J15" s="20">
        <v>0</v>
      </c>
      <c r="K15" s="20">
        <v>0</v>
      </c>
      <c r="L15" s="20" t="s">
        <v>4</v>
      </c>
      <c r="M15" s="21" t="s">
        <v>4</v>
      </c>
      <c r="N15" s="19">
        <v>6</v>
      </c>
      <c r="O15" s="1" t="s">
        <v>4</v>
      </c>
      <c r="P15" s="19">
        <v>6</v>
      </c>
      <c r="Q15" s="19">
        <v>2</v>
      </c>
      <c r="R15" s="20">
        <v>2</v>
      </c>
      <c r="S15" s="20">
        <v>0</v>
      </c>
      <c r="T15" s="20">
        <v>6</v>
      </c>
      <c r="U15" s="20">
        <v>14</v>
      </c>
      <c r="V15" s="20">
        <v>0</v>
      </c>
      <c r="W15" s="20" t="s">
        <v>4</v>
      </c>
      <c r="X15" s="21" t="s">
        <v>4</v>
      </c>
      <c r="Y15" s="19">
        <v>733759</v>
      </c>
      <c r="Z15" s="45"/>
      <c r="AA15" s="19">
        <v>612573</v>
      </c>
      <c r="AB15" s="45"/>
      <c r="AC15" s="19">
        <v>623</v>
      </c>
      <c r="AD15" s="22">
        <v>79624850.010000005</v>
      </c>
      <c r="AE15" s="22">
        <v>78087014.439999998</v>
      </c>
      <c r="AF15" s="22">
        <v>64338064.25</v>
      </c>
      <c r="AG15" s="22">
        <v>13748950.189999999</v>
      </c>
      <c r="AH15" s="22">
        <v>0</v>
      </c>
      <c r="AI15" s="22">
        <v>0</v>
      </c>
      <c r="AJ15" s="22">
        <v>1537835.57</v>
      </c>
      <c r="AK15" s="22">
        <v>26105087.510000002</v>
      </c>
      <c r="AL15" s="22">
        <v>53237187</v>
      </c>
      <c r="AM15" s="22">
        <v>273402475.50999999</v>
      </c>
      <c r="AN15" s="22">
        <v>87386627.650000006</v>
      </c>
      <c r="AO15" s="22">
        <v>51710755.539999999</v>
      </c>
      <c r="AP15" s="22">
        <v>8444208.6500000004</v>
      </c>
      <c r="AQ15" s="22">
        <v>14124846.65</v>
      </c>
      <c r="AR15" s="22">
        <v>8634101.6600000001</v>
      </c>
      <c r="AS15" s="22">
        <v>0</v>
      </c>
      <c r="AT15" s="22">
        <v>0</v>
      </c>
      <c r="AU15" s="22">
        <v>118875.59</v>
      </c>
      <c r="AV15" s="22">
        <v>4353839.5599999996</v>
      </c>
      <c r="AW15" s="22">
        <v>142029621.47999999</v>
      </c>
      <c r="AX15" s="22">
        <v>0</v>
      </c>
      <c r="AY15" s="22">
        <v>142029621.47999999</v>
      </c>
      <c r="AZ15" s="22">
        <v>15464370.4</v>
      </c>
      <c r="BA15" s="22">
        <v>25790967.199999999</v>
      </c>
      <c r="BB15" s="22">
        <v>2730888.78</v>
      </c>
      <c r="BC15" s="22">
        <v>0</v>
      </c>
      <c r="BD15" s="22">
        <v>142029621.47999999</v>
      </c>
      <c r="BE15" s="22">
        <v>0</v>
      </c>
      <c r="BF15" s="22">
        <v>24269527.280000001</v>
      </c>
      <c r="BG15" s="22">
        <v>17520.52</v>
      </c>
      <c r="BH15" s="22">
        <v>37190449.299999997</v>
      </c>
      <c r="BI15" s="22">
        <v>0</v>
      </c>
      <c r="BJ15" s="22">
        <v>61477497.100000001</v>
      </c>
      <c r="BK15" s="22">
        <v>0</v>
      </c>
      <c r="BL15" s="22">
        <v>61477497.100000001</v>
      </c>
      <c r="BM15" s="22">
        <v>0</v>
      </c>
      <c r="BN15" s="22">
        <v>0</v>
      </c>
      <c r="BO15" s="22">
        <v>0</v>
      </c>
      <c r="BP15" s="22">
        <v>0</v>
      </c>
      <c r="BQ15" s="22">
        <v>0</v>
      </c>
      <c r="BR15" s="22">
        <v>0</v>
      </c>
      <c r="BS15" s="22">
        <v>0</v>
      </c>
      <c r="BT15" s="22">
        <v>0</v>
      </c>
      <c r="BU15" s="22">
        <v>0</v>
      </c>
      <c r="BV15" s="22">
        <v>223413.23</v>
      </c>
      <c r="BW15" s="22">
        <v>1024839.96</v>
      </c>
      <c r="BX15" s="22">
        <v>0</v>
      </c>
      <c r="BY15" s="22">
        <v>1248253.19</v>
      </c>
      <c r="BZ15" s="22">
        <v>0</v>
      </c>
      <c r="CA15" s="22">
        <v>0</v>
      </c>
      <c r="CB15" s="22">
        <v>1248253.19</v>
      </c>
      <c r="CC15" s="19">
        <v>344360</v>
      </c>
      <c r="CD15" s="45"/>
      <c r="CE15" s="19">
        <v>80858</v>
      </c>
      <c r="CF15" s="19">
        <v>80040</v>
      </c>
      <c r="CG15" s="19">
        <v>16583</v>
      </c>
      <c r="CH15" s="19">
        <v>91366</v>
      </c>
      <c r="CI15" s="19">
        <v>19229</v>
      </c>
      <c r="CJ15" s="19">
        <v>82880</v>
      </c>
      <c r="CK15" s="19">
        <v>17498</v>
      </c>
      <c r="CL15" s="22">
        <v>60880.92</v>
      </c>
      <c r="CM15" s="22">
        <v>0</v>
      </c>
      <c r="CN15" s="22">
        <v>0</v>
      </c>
      <c r="CO15" s="22">
        <v>0</v>
      </c>
      <c r="CP15" s="22">
        <v>0</v>
      </c>
      <c r="CQ15" s="22">
        <v>0</v>
      </c>
      <c r="CR15" s="22">
        <v>51316.74</v>
      </c>
      <c r="CS15" s="22">
        <v>7570.11</v>
      </c>
      <c r="CT15" s="22">
        <v>0</v>
      </c>
      <c r="CU15" s="22">
        <v>969.98</v>
      </c>
      <c r="CV15" s="22">
        <v>17572.009999999998</v>
      </c>
      <c r="CW15" s="22">
        <v>20565.53</v>
      </c>
      <c r="CX15" s="22">
        <v>835.19</v>
      </c>
      <c r="CY15" s="22">
        <v>982.34</v>
      </c>
      <c r="CZ15" s="22">
        <v>20862.87</v>
      </c>
      <c r="DA15" s="19">
        <v>39508</v>
      </c>
      <c r="DB15" s="45"/>
      <c r="DC15" s="19">
        <v>10741</v>
      </c>
      <c r="DD15" s="19">
        <v>10422</v>
      </c>
      <c r="DE15" s="19">
        <v>12827</v>
      </c>
      <c r="DF15" s="19">
        <v>9859</v>
      </c>
      <c r="DG15" s="22">
        <v>2570.7199999999998</v>
      </c>
      <c r="DH15" s="22">
        <v>2492.62</v>
      </c>
      <c r="DI15" s="22">
        <v>0</v>
      </c>
      <c r="DJ15" s="22">
        <v>0</v>
      </c>
      <c r="DK15" s="22">
        <v>0</v>
      </c>
      <c r="DL15" s="22">
        <v>0</v>
      </c>
      <c r="DM15" s="22">
        <v>2813</v>
      </c>
      <c r="DN15" s="22">
        <v>374.59</v>
      </c>
      <c r="DO15" s="22">
        <v>66.09</v>
      </c>
      <c r="DP15" s="1"/>
      <c r="DQ15" s="19">
        <v>39</v>
      </c>
      <c r="DR15" s="19">
        <v>240</v>
      </c>
      <c r="DS15" s="19">
        <v>1712</v>
      </c>
      <c r="DT15" s="19">
        <v>0</v>
      </c>
      <c r="DU15" s="22">
        <v>0</v>
      </c>
      <c r="DV15" s="19">
        <v>0</v>
      </c>
      <c r="DW15" s="19">
        <v>91904</v>
      </c>
      <c r="DX15" s="19">
        <v>1723</v>
      </c>
      <c r="DY15" s="19">
        <v>370</v>
      </c>
      <c r="DZ15" s="19">
        <v>92178</v>
      </c>
      <c r="EA15" s="19">
        <v>1622</v>
      </c>
      <c r="EB15" s="19">
        <v>789</v>
      </c>
      <c r="EC15" s="19">
        <v>7716</v>
      </c>
      <c r="ED15" s="19">
        <v>1444</v>
      </c>
      <c r="EE15" s="19">
        <v>199</v>
      </c>
      <c r="EF15" s="19">
        <v>183</v>
      </c>
      <c r="EG15" s="22">
        <v>13452</v>
      </c>
      <c r="EH15" s="19">
        <v>46539</v>
      </c>
      <c r="EI15" s="19">
        <v>35623</v>
      </c>
      <c r="EJ15" s="22">
        <v>5122450.3</v>
      </c>
      <c r="EK15" s="22">
        <v>13729546.32</v>
      </c>
      <c r="EL15" s="22">
        <v>279226831.51999998</v>
      </c>
      <c r="EM15" s="22">
        <v>85692918.400000006</v>
      </c>
      <c r="EN15" s="22">
        <v>-146154.65</v>
      </c>
      <c r="EO15" s="22">
        <v>467291768.70999998</v>
      </c>
      <c r="EP15" s="22">
        <v>-273757855.58999997</v>
      </c>
      <c r="EQ15" s="22">
        <v>65074183.280000001</v>
      </c>
      <c r="ER15" s="22">
        <v>0</v>
      </c>
      <c r="ES15" s="22">
        <v>-10247974.789999999</v>
      </c>
      <c r="ET15" s="22">
        <v>992442.86</v>
      </c>
      <c r="EU15" s="22">
        <v>-133581.89000000001</v>
      </c>
      <c r="EV15" s="22">
        <v>-16680468.029999999</v>
      </c>
      <c r="EW15" s="2"/>
    </row>
    <row r="16" spans="1:153" ht="12" customHeight="1">
      <c r="A16" s="1" t="s">
        <v>328</v>
      </c>
      <c r="B16" s="19">
        <v>56</v>
      </c>
      <c r="C16" s="19">
        <v>56</v>
      </c>
      <c r="D16" s="1" t="s">
        <v>4</v>
      </c>
      <c r="E16" s="19">
        <v>56</v>
      </c>
      <c r="F16" s="19">
        <v>544</v>
      </c>
      <c r="G16" s="20">
        <v>16</v>
      </c>
      <c r="H16" s="20">
        <v>0</v>
      </c>
      <c r="I16" s="20">
        <v>0</v>
      </c>
      <c r="J16" s="20"/>
      <c r="K16" s="20"/>
      <c r="L16" s="20" t="s">
        <v>4</v>
      </c>
      <c r="M16" s="21" t="s">
        <v>4</v>
      </c>
      <c r="N16" s="19">
        <v>7</v>
      </c>
      <c r="O16" s="1" t="s">
        <v>4</v>
      </c>
      <c r="P16" s="19">
        <v>7</v>
      </c>
      <c r="Q16" s="19">
        <v>10</v>
      </c>
      <c r="R16" s="20">
        <v>1</v>
      </c>
      <c r="S16" s="20">
        <v>0</v>
      </c>
      <c r="T16" s="20">
        <v>0</v>
      </c>
      <c r="U16" s="20"/>
      <c r="V16" s="20"/>
      <c r="W16" s="20" t="s">
        <v>4</v>
      </c>
      <c r="X16" s="21" t="s">
        <v>4</v>
      </c>
      <c r="Y16" s="19">
        <v>3840111</v>
      </c>
      <c r="Z16" s="45"/>
      <c r="AA16" s="19">
        <v>2224350</v>
      </c>
      <c r="AB16" s="45"/>
      <c r="AC16" s="19">
        <v>2416</v>
      </c>
      <c r="AD16" s="22">
        <v>790642656.51999998</v>
      </c>
      <c r="AE16" s="22">
        <v>720169864.42999995</v>
      </c>
      <c r="AF16" s="22">
        <v>641649502.59000003</v>
      </c>
      <c r="AG16" s="22">
        <v>78520261.840000004</v>
      </c>
      <c r="AH16" s="22">
        <v>100</v>
      </c>
      <c r="AI16" s="22">
        <v>0</v>
      </c>
      <c r="AJ16" s="22">
        <v>70472792.090000004</v>
      </c>
      <c r="AK16" s="22">
        <v>593459983.32000005</v>
      </c>
      <c r="AL16" s="22">
        <v>433892148.76999998</v>
      </c>
      <c r="AM16" s="22">
        <v>752202093.28999996</v>
      </c>
      <c r="AN16" s="22">
        <v>373911038.38</v>
      </c>
      <c r="AO16" s="22">
        <v>85077728.730000004</v>
      </c>
      <c r="AP16" s="22">
        <v>27377534.98</v>
      </c>
      <c r="AQ16" s="22">
        <v>90945713.049999997</v>
      </c>
      <c r="AR16" s="22">
        <v>93220968.040000007</v>
      </c>
      <c r="AS16" s="22">
        <v>33301294.399999999</v>
      </c>
      <c r="AT16" s="22">
        <v>0</v>
      </c>
      <c r="AU16" s="22">
        <v>9475715.5800000001</v>
      </c>
      <c r="AV16" s="22">
        <v>34512083.600000001</v>
      </c>
      <c r="AW16" s="22">
        <v>90087396.25</v>
      </c>
      <c r="AX16" s="22">
        <v>4191380.83</v>
      </c>
      <c r="AY16" s="22">
        <v>94278777.079999998</v>
      </c>
      <c r="AZ16" s="22">
        <v>54807660.43</v>
      </c>
      <c r="BA16" s="22">
        <v>23217283.199999999</v>
      </c>
      <c r="BB16" s="22">
        <v>205987334.19999999</v>
      </c>
      <c r="BC16" s="22">
        <v>98183917.280000001</v>
      </c>
      <c r="BD16" s="22">
        <v>192462694.36000001</v>
      </c>
      <c r="BE16" s="22">
        <v>631324.98</v>
      </c>
      <c r="BF16" s="22">
        <v>176280145.58000001</v>
      </c>
      <c r="BG16" s="22">
        <v>48944414.380000003</v>
      </c>
      <c r="BH16" s="22">
        <v>10769984.02</v>
      </c>
      <c r="BI16" s="22">
        <v>222938343.78</v>
      </c>
      <c r="BJ16" s="22">
        <v>13550565.18</v>
      </c>
      <c r="BK16" s="22">
        <v>136960</v>
      </c>
      <c r="BL16" s="22">
        <v>236625868.96000001</v>
      </c>
      <c r="BM16" s="22">
        <v>1422386.27</v>
      </c>
      <c r="BN16" s="22">
        <v>4274333.4800000004</v>
      </c>
      <c r="BO16" s="22">
        <v>95000</v>
      </c>
      <c r="BP16" s="22">
        <v>465458.76</v>
      </c>
      <c r="BQ16" s="22">
        <v>2914383.08</v>
      </c>
      <c r="BR16" s="22">
        <v>552880</v>
      </c>
      <c r="BS16" s="22">
        <v>2699915.43</v>
      </c>
      <c r="BT16" s="22">
        <v>6167178.5099999998</v>
      </c>
      <c r="BU16" s="22">
        <v>2700000</v>
      </c>
      <c r="BV16" s="22">
        <v>2621211</v>
      </c>
      <c r="BW16" s="22">
        <v>0</v>
      </c>
      <c r="BX16" s="22">
        <v>2500000</v>
      </c>
      <c r="BY16" s="22">
        <v>2500000</v>
      </c>
      <c r="BZ16" s="22">
        <v>2500000</v>
      </c>
      <c r="CA16" s="22">
        <v>2500000</v>
      </c>
      <c r="CB16" s="22">
        <v>7500000</v>
      </c>
      <c r="CC16" s="19">
        <v>3135662</v>
      </c>
      <c r="CD16" s="45"/>
      <c r="CE16" s="19">
        <v>964353</v>
      </c>
      <c r="CF16" s="19">
        <v>753626</v>
      </c>
      <c r="CG16" s="19">
        <v>473714</v>
      </c>
      <c r="CH16" s="19">
        <v>896579</v>
      </c>
      <c r="CI16" s="19">
        <v>563222</v>
      </c>
      <c r="CJ16" s="19">
        <v>716162</v>
      </c>
      <c r="CK16" s="19">
        <v>525952</v>
      </c>
      <c r="CL16" s="22">
        <v>336434.44</v>
      </c>
      <c r="CM16" s="22">
        <v>269657.18</v>
      </c>
      <c r="CN16" s="22">
        <v>40613.49</v>
      </c>
      <c r="CO16" s="22">
        <v>63903.93</v>
      </c>
      <c r="CP16" s="22">
        <v>0</v>
      </c>
      <c r="CQ16" s="22">
        <v>1150</v>
      </c>
      <c r="CR16" s="22">
        <v>205444.94</v>
      </c>
      <c r="CS16" s="22">
        <v>82369.72</v>
      </c>
      <c r="CT16" s="22">
        <v>258858.17</v>
      </c>
      <c r="CU16" s="22">
        <v>79209.19</v>
      </c>
      <c r="CV16" s="22">
        <v>176745.25</v>
      </c>
      <c r="CW16" s="22">
        <v>157169.48000000001</v>
      </c>
      <c r="CX16" s="22">
        <v>75516.649999999994</v>
      </c>
      <c r="CY16" s="22">
        <v>14903.82</v>
      </c>
      <c r="CZ16" s="22">
        <v>216191.22</v>
      </c>
      <c r="DA16" s="19">
        <v>560592</v>
      </c>
      <c r="DB16" s="45"/>
      <c r="DC16" s="19">
        <v>149629</v>
      </c>
      <c r="DD16" s="19">
        <v>82551</v>
      </c>
      <c r="DE16" s="19">
        <v>95541</v>
      </c>
      <c r="DF16" s="19">
        <v>91034</v>
      </c>
      <c r="DG16" s="22">
        <v>23723.72</v>
      </c>
      <c r="DH16" s="22">
        <v>21968.32</v>
      </c>
      <c r="DI16" s="22">
        <v>0</v>
      </c>
      <c r="DJ16" s="22">
        <v>0</v>
      </c>
      <c r="DK16" s="22">
        <v>0</v>
      </c>
      <c r="DL16" s="22">
        <v>0</v>
      </c>
      <c r="DM16" s="22">
        <v>12811.56</v>
      </c>
      <c r="DN16" s="22">
        <v>903.61</v>
      </c>
      <c r="DO16" s="22">
        <v>5750.68</v>
      </c>
      <c r="DP16" s="1"/>
      <c r="DQ16" s="19">
        <v>891</v>
      </c>
      <c r="DR16" s="19">
        <v>10490</v>
      </c>
      <c r="DS16" s="19">
        <v>385301</v>
      </c>
      <c r="DT16" s="19">
        <v>1189</v>
      </c>
      <c r="DU16" s="22">
        <v>12182.5</v>
      </c>
      <c r="DV16" s="19">
        <v>139286</v>
      </c>
      <c r="DW16" s="19">
        <v>74026</v>
      </c>
      <c r="DX16" s="19">
        <v>110515</v>
      </c>
      <c r="DY16" s="19">
        <v>443</v>
      </c>
      <c r="DZ16" s="19">
        <v>70126</v>
      </c>
      <c r="EA16" s="19">
        <v>105080</v>
      </c>
      <c r="EB16" s="19">
        <v>1448</v>
      </c>
      <c r="EC16" s="19">
        <v>32070</v>
      </c>
      <c r="ED16" s="19">
        <v>32054</v>
      </c>
      <c r="EE16" s="19">
        <v>501</v>
      </c>
      <c r="EF16" s="19">
        <v>6456</v>
      </c>
      <c r="EG16" s="22">
        <v>45171.65</v>
      </c>
      <c r="EH16" s="19">
        <v>116159</v>
      </c>
      <c r="EI16" s="19">
        <v>114434</v>
      </c>
      <c r="EJ16" s="22">
        <v>1037135.4</v>
      </c>
      <c r="EK16" s="22">
        <v>265748.68</v>
      </c>
      <c r="EL16" s="22">
        <v>1880011.35</v>
      </c>
      <c r="EM16" s="22">
        <v>886539.17</v>
      </c>
      <c r="EN16" s="22">
        <v>20639.66</v>
      </c>
      <c r="EO16" s="22">
        <v>146595.38</v>
      </c>
      <c r="EP16" s="22">
        <v>846886.8</v>
      </c>
      <c r="EQ16" s="22">
        <v>967178.92</v>
      </c>
      <c r="ER16" s="22">
        <v>0</v>
      </c>
      <c r="ES16" s="22">
        <v>280677.62</v>
      </c>
      <c r="ET16" s="22">
        <v>387185.48</v>
      </c>
      <c r="EU16" s="22">
        <v>91914.12</v>
      </c>
      <c r="EV16" s="22">
        <v>351953.08</v>
      </c>
      <c r="EW16" s="2"/>
    </row>
    <row r="17" spans="1:153" ht="12" customHeight="1">
      <c r="A17" s="1" t="s">
        <v>329</v>
      </c>
      <c r="B17" s="19">
        <v>121</v>
      </c>
      <c r="C17" s="19">
        <v>121</v>
      </c>
      <c r="D17" s="1" t="s">
        <v>4</v>
      </c>
      <c r="E17" s="19">
        <v>121</v>
      </c>
      <c r="F17" s="19">
        <v>1127</v>
      </c>
      <c r="G17" s="20">
        <v>51</v>
      </c>
      <c r="H17" s="20">
        <v>8</v>
      </c>
      <c r="I17" s="20">
        <v>0</v>
      </c>
      <c r="J17" s="20">
        <v>0</v>
      </c>
      <c r="K17" s="20">
        <v>0</v>
      </c>
      <c r="L17" s="20" t="s">
        <v>4</v>
      </c>
      <c r="M17" s="21" t="s">
        <v>4</v>
      </c>
      <c r="N17" s="19">
        <v>23</v>
      </c>
      <c r="O17" s="1" t="s">
        <v>4</v>
      </c>
      <c r="P17" s="19">
        <v>23</v>
      </c>
      <c r="Q17" s="19">
        <v>39</v>
      </c>
      <c r="R17" s="20">
        <v>8</v>
      </c>
      <c r="S17" s="20">
        <v>0</v>
      </c>
      <c r="T17" s="20">
        <v>0</v>
      </c>
      <c r="U17" s="20">
        <v>41</v>
      </c>
      <c r="V17" s="20">
        <v>8</v>
      </c>
      <c r="W17" s="20" t="s">
        <v>4</v>
      </c>
      <c r="X17" s="21" t="s">
        <v>4</v>
      </c>
      <c r="Y17" s="19">
        <v>7482752</v>
      </c>
      <c r="Z17" s="45"/>
      <c r="AA17" s="19">
        <v>3797135</v>
      </c>
      <c r="AB17" s="45"/>
      <c r="AC17" s="19">
        <v>4003</v>
      </c>
      <c r="AD17" s="22">
        <v>726084413.05999994</v>
      </c>
      <c r="AE17" s="22">
        <v>707364112.52999997</v>
      </c>
      <c r="AF17" s="22">
        <v>640857984.85000002</v>
      </c>
      <c r="AG17" s="22">
        <v>64826127.68</v>
      </c>
      <c r="AH17" s="22">
        <v>1680000</v>
      </c>
      <c r="AI17" s="22">
        <v>0</v>
      </c>
      <c r="AJ17" s="22">
        <v>18720300.530000001</v>
      </c>
      <c r="AK17" s="22">
        <v>577681041.02999997</v>
      </c>
      <c r="AL17" s="22">
        <v>209029372.28</v>
      </c>
      <c r="AM17" s="22">
        <v>1158143027.4200001</v>
      </c>
      <c r="AN17" s="22">
        <v>781783543.14999998</v>
      </c>
      <c r="AO17" s="22">
        <v>300674434.81999999</v>
      </c>
      <c r="AP17" s="22">
        <v>39064512.140000001</v>
      </c>
      <c r="AQ17" s="22">
        <v>187596698.30000001</v>
      </c>
      <c r="AR17" s="22">
        <v>194604192.15000001</v>
      </c>
      <c r="AS17" s="22">
        <v>20500</v>
      </c>
      <c r="AT17" s="22">
        <v>0</v>
      </c>
      <c r="AU17" s="22">
        <v>36785962.310000002</v>
      </c>
      <c r="AV17" s="22">
        <v>23037243.43</v>
      </c>
      <c r="AW17" s="22">
        <v>148811278.38</v>
      </c>
      <c r="AX17" s="22">
        <v>2122720.02</v>
      </c>
      <c r="AY17" s="22">
        <v>150933998.40000001</v>
      </c>
      <c r="AZ17" s="22">
        <v>205064569.19999999</v>
      </c>
      <c r="BA17" s="22">
        <v>-809929.52</v>
      </c>
      <c r="BB17" s="22">
        <v>21170846.170000002</v>
      </c>
      <c r="BC17" s="22">
        <v>4053834.77</v>
      </c>
      <c r="BD17" s="22">
        <v>154987833.16999999</v>
      </c>
      <c r="BE17" s="22">
        <v>26350.01</v>
      </c>
      <c r="BF17" s="22">
        <v>47274487.649999999</v>
      </c>
      <c r="BG17" s="22">
        <v>8047054.6200000001</v>
      </c>
      <c r="BH17" s="22">
        <v>8137680.7699999996</v>
      </c>
      <c r="BI17" s="22">
        <v>39940494.140000001</v>
      </c>
      <c r="BJ17" s="22">
        <v>23545078.91</v>
      </c>
      <c r="BK17" s="22">
        <v>0</v>
      </c>
      <c r="BL17" s="22">
        <v>63485573.049999997</v>
      </c>
      <c r="BM17" s="22">
        <v>359556.8</v>
      </c>
      <c r="BN17" s="22">
        <v>17624446.120000001</v>
      </c>
      <c r="BO17" s="22">
        <v>8719789.0500000007</v>
      </c>
      <c r="BP17" s="22">
        <v>2051311.04</v>
      </c>
      <c r="BQ17" s="22">
        <v>20902060.77</v>
      </c>
      <c r="BR17" s="22">
        <v>1870960.27</v>
      </c>
      <c r="BS17" s="22">
        <v>5982081.9699999997</v>
      </c>
      <c r="BT17" s="22">
        <v>28755103.010000002</v>
      </c>
      <c r="BU17" s="22">
        <v>399763.39</v>
      </c>
      <c r="BV17" s="22">
        <v>68869963.769999996</v>
      </c>
      <c r="BW17" s="22">
        <v>15794440.689999999</v>
      </c>
      <c r="BX17" s="22">
        <v>4806265.58</v>
      </c>
      <c r="BY17" s="22">
        <v>632166.81999999995</v>
      </c>
      <c r="BZ17" s="22">
        <v>0</v>
      </c>
      <c r="CA17" s="22">
        <v>88838503.219999999</v>
      </c>
      <c r="CB17" s="22">
        <v>89470670.040000007</v>
      </c>
      <c r="CC17" s="19">
        <v>4147153</v>
      </c>
      <c r="CD17" s="45"/>
      <c r="CE17" s="19">
        <v>1284262</v>
      </c>
      <c r="CF17" s="19">
        <v>995728</v>
      </c>
      <c r="CG17" s="19">
        <v>328253</v>
      </c>
      <c r="CH17" s="19">
        <v>1177842</v>
      </c>
      <c r="CI17" s="19">
        <v>432676</v>
      </c>
      <c r="CJ17" s="19">
        <v>968196</v>
      </c>
      <c r="CK17" s="19">
        <v>382249</v>
      </c>
      <c r="CL17" s="22">
        <v>412960.63</v>
      </c>
      <c r="CM17" s="22">
        <v>129332.4</v>
      </c>
      <c r="CN17" s="22">
        <v>11603.04</v>
      </c>
      <c r="CO17" s="22">
        <v>7188.56</v>
      </c>
      <c r="CP17" s="22">
        <v>1729</v>
      </c>
      <c r="CQ17" s="22">
        <v>11620</v>
      </c>
      <c r="CR17" s="22">
        <v>182871.27</v>
      </c>
      <c r="CS17" s="22">
        <v>148701.32999999999</v>
      </c>
      <c r="CT17" s="22">
        <v>18248.25</v>
      </c>
      <c r="CU17" s="22">
        <v>62545.18</v>
      </c>
      <c r="CV17" s="22">
        <v>267397.44</v>
      </c>
      <c r="CW17" s="22">
        <v>178406.23</v>
      </c>
      <c r="CX17" s="22">
        <v>48319.24</v>
      </c>
      <c r="CY17" s="22">
        <v>17572.38</v>
      </c>
      <c r="CZ17" s="22">
        <v>309741.93</v>
      </c>
      <c r="DA17" s="19">
        <v>691398</v>
      </c>
      <c r="DB17" s="45"/>
      <c r="DC17" s="19">
        <v>151657</v>
      </c>
      <c r="DD17" s="19">
        <v>130562</v>
      </c>
      <c r="DE17" s="19">
        <v>142342</v>
      </c>
      <c r="DF17" s="19">
        <v>127601</v>
      </c>
      <c r="DG17" s="22">
        <v>24909.37</v>
      </c>
      <c r="DH17" s="22">
        <v>16404.080000000002</v>
      </c>
      <c r="DI17" s="22">
        <v>2840</v>
      </c>
      <c r="DJ17" s="22">
        <v>0</v>
      </c>
      <c r="DK17" s="22">
        <v>0</v>
      </c>
      <c r="DL17" s="22">
        <v>0</v>
      </c>
      <c r="DM17" s="22">
        <v>22267.200000000001</v>
      </c>
      <c r="DN17" s="22">
        <v>2231.42</v>
      </c>
      <c r="DO17" s="22">
        <v>2637.21</v>
      </c>
      <c r="DP17" s="1"/>
      <c r="DQ17" s="19">
        <v>2595</v>
      </c>
      <c r="DR17" s="19">
        <v>24106</v>
      </c>
      <c r="DS17" s="19">
        <v>1124951</v>
      </c>
      <c r="DT17" s="19">
        <v>4035</v>
      </c>
      <c r="DU17" s="22">
        <v>66025.47</v>
      </c>
      <c r="DV17" s="19">
        <v>217559</v>
      </c>
      <c r="DW17" s="19">
        <v>110035</v>
      </c>
      <c r="DX17" s="19">
        <v>128046</v>
      </c>
      <c r="DY17" s="19">
        <v>8623</v>
      </c>
      <c r="DZ17" s="19">
        <v>114660</v>
      </c>
      <c r="EA17" s="19">
        <v>132022</v>
      </c>
      <c r="EB17" s="19">
        <v>3127</v>
      </c>
      <c r="EC17" s="19">
        <v>115574</v>
      </c>
      <c r="ED17" s="19">
        <v>70354</v>
      </c>
      <c r="EE17" s="19">
        <v>6721</v>
      </c>
      <c r="EF17" s="19">
        <v>439</v>
      </c>
      <c r="EG17" s="22">
        <v>659.48</v>
      </c>
      <c r="EH17" s="19">
        <v>201299</v>
      </c>
      <c r="EI17" s="19">
        <v>171629</v>
      </c>
      <c r="EJ17" s="22">
        <v>2248340.86</v>
      </c>
      <c r="EK17" s="22">
        <v>389340.53</v>
      </c>
      <c r="EL17" s="22">
        <v>7568840.2300000004</v>
      </c>
      <c r="EM17" s="22">
        <v>1450677.14</v>
      </c>
      <c r="EN17" s="22">
        <v>3848222.98</v>
      </c>
      <c r="EO17" s="22">
        <v>3099876.42</v>
      </c>
      <c r="EP17" s="22">
        <v>7462942.5599999996</v>
      </c>
      <c r="EQ17" s="22">
        <v>3118888.9</v>
      </c>
      <c r="ER17" s="22">
        <v>142389.91</v>
      </c>
      <c r="ES17" s="22">
        <v>2230401.7599999998</v>
      </c>
      <c r="ET17" s="22">
        <v>1377597.98</v>
      </c>
      <c r="EU17" s="22">
        <v>3901527.93</v>
      </c>
      <c r="EV17" s="22">
        <v>-86736.92</v>
      </c>
      <c r="EW17" s="2"/>
    </row>
    <row r="18" spans="1:153" ht="12" customHeight="1">
      <c r="A18" s="1" t="s">
        <v>330</v>
      </c>
      <c r="B18" s="19">
        <v>49</v>
      </c>
      <c r="C18" s="19">
        <v>49</v>
      </c>
      <c r="D18" s="1" t="s">
        <v>4</v>
      </c>
      <c r="E18" s="19">
        <v>49</v>
      </c>
      <c r="F18" s="19">
        <v>34</v>
      </c>
      <c r="G18" s="20">
        <v>23</v>
      </c>
      <c r="H18" s="20">
        <v>0</v>
      </c>
      <c r="I18" s="20">
        <v>17</v>
      </c>
      <c r="J18" s="20">
        <v>0</v>
      </c>
      <c r="K18" s="20">
        <v>0</v>
      </c>
      <c r="L18" s="20" t="s">
        <v>4</v>
      </c>
      <c r="M18" s="21" t="s">
        <v>4</v>
      </c>
      <c r="N18" s="19">
        <v>14</v>
      </c>
      <c r="O18" s="1" t="s">
        <v>4</v>
      </c>
      <c r="P18" s="19">
        <v>14</v>
      </c>
      <c r="Q18" s="19">
        <v>3</v>
      </c>
      <c r="R18" s="20">
        <v>7</v>
      </c>
      <c r="S18" s="20">
        <v>0</v>
      </c>
      <c r="T18" s="20">
        <v>0</v>
      </c>
      <c r="U18" s="20">
        <v>14</v>
      </c>
      <c r="V18" s="20">
        <v>0</v>
      </c>
      <c r="W18" s="20" t="s">
        <v>4</v>
      </c>
      <c r="X18" s="21" t="s">
        <v>4</v>
      </c>
      <c r="Y18" s="19">
        <v>1563093</v>
      </c>
      <c r="Z18" s="45"/>
      <c r="AA18" s="19">
        <v>993794</v>
      </c>
      <c r="AB18" s="45"/>
      <c r="AC18" s="19">
        <v>1088</v>
      </c>
      <c r="AD18" s="22">
        <v>237184632.13</v>
      </c>
      <c r="AE18" s="22">
        <v>215609780.09999999</v>
      </c>
      <c r="AF18" s="22">
        <v>204658019.25</v>
      </c>
      <c r="AG18" s="22">
        <v>10951760.85</v>
      </c>
      <c r="AH18" s="22">
        <v>0</v>
      </c>
      <c r="AI18" s="22">
        <v>0</v>
      </c>
      <c r="AJ18" s="22">
        <v>21574852.030000001</v>
      </c>
      <c r="AK18" s="22">
        <v>219245110.41</v>
      </c>
      <c r="AL18" s="22">
        <v>135061210.22</v>
      </c>
      <c r="AM18" s="22">
        <v>320914532.94999999</v>
      </c>
      <c r="AN18" s="22">
        <v>285205500.24000001</v>
      </c>
      <c r="AO18" s="22">
        <v>126741071.31</v>
      </c>
      <c r="AP18" s="22">
        <v>10819708.07</v>
      </c>
      <c r="AQ18" s="22">
        <v>35502020.380000003</v>
      </c>
      <c r="AR18" s="22">
        <v>34252162.799999997</v>
      </c>
      <c r="AS18" s="22">
        <v>0</v>
      </c>
      <c r="AT18" s="22">
        <v>0</v>
      </c>
      <c r="AU18" s="22">
        <v>33943375.869999997</v>
      </c>
      <c r="AV18" s="22">
        <v>43947161.810000002</v>
      </c>
      <c r="AW18" s="22">
        <v>7970983.0700000003</v>
      </c>
      <c r="AX18" s="22">
        <v>158.69999999999999</v>
      </c>
      <c r="AY18" s="22">
        <v>7971141.7699999996</v>
      </c>
      <c r="AZ18" s="22">
        <v>10035015.210000001</v>
      </c>
      <c r="BA18" s="22">
        <v>5891397.9199999999</v>
      </c>
      <c r="BB18" s="22">
        <v>11811477.810000001</v>
      </c>
      <c r="BC18" s="22">
        <v>0</v>
      </c>
      <c r="BD18" s="22">
        <v>7971141.7699999996</v>
      </c>
      <c r="BE18" s="22">
        <v>350616.9</v>
      </c>
      <c r="BF18" s="22">
        <v>28200494.969999999</v>
      </c>
      <c r="BG18" s="22">
        <v>18290577.100000001</v>
      </c>
      <c r="BH18" s="22">
        <v>9107343.5700000003</v>
      </c>
      <c r="BI18" s="22">
        <v>9029762.1199999992</v>
      </c>
      <c r="BJ18" s="22">
        <v>46839396.100000001</v>
      </c>
      <c r="BK18" s="22">
        <v>79874.320000000007</v>
      </c>
      <c r="BL18" s="22">
        <v>55949032.539999999</v>
      </c>
      <c r="BM18" s="22">
        <v>0</v>
      </c>
      <c r="BN18" s="22">
        <v>119681.76</v>
      </c>
      <c r="BO18" s="22">
        <v>92760.83</v>
      </c>
      <c r="BP18" s="22">
        <v>121657.78</v>
      </c>
      <c r="BQ18" s="22">
        <v>241339.54</v>
      </c>
      <c r="BR18" s="22">
        <v>92760.83</v>
      </c>
      <c r="BS18" s="22">
        <v>789675.92</v>
      </c>
      <c r="BT18" s="22">
        <v>334100.37</v>
      </c>
      <c r="BU18" s="22">
        <v>0</v>
      </c>
      <c r="BV18" s="22">
        <v>17424007.620000001</v>
      </c>
      <c r="BW18" s="22">
        <v>52149006.640000001</v>
      </c>
      <c r="BX18" s="22">
        <v>0</v>
      </c>
      <c r="BY18" s="22">
        <v>0</v>
      </c>
      <c r="BZ18" s="22">
        <v>0</v>
      </c>
      <c r="CA18" s="22">
        <v>69573014.260000005</v>
      </c>
      <c r="CB18" s="22">
        <v>69573014.260000005</v>
      </c>
      <c r="CC18" s="19">
        <v>884665</v>
      </c>
      <c r="CD18" s="45"/>
      <c r="CE18" s="19">
        <v>414845</v>
      </c>
      <c r="CF18" s="19">
        <v>285290</v>
      </c>
      <c r="CG18" s="19">
        <v>222093</v>
      </c>
      <c r="CH18" s="19">
        <v>311557</v>
      </c>
      <c r="CI18" s="19">
        <v>239707</v>
      </c>
      <c r="CJ18" s="19">
        <v>264341</v>
      </c>
      <c r="CK18" s="19">
        <v>217795</v>
      </c>
      <c r="CL18" s="22">
        <v>114484.03</v>
      </c>
      <c r="CM18" s="22">
        <v>21841.29</v>
      </c>
      <c r="CN18" s="22">
        <v>940.18</v>
      </c>
      <c r="CO18" s="22">
        <v>0</v>
      </c>
      <c r="CP18" s="22">
        <v>0</v>
      </c>
      <c r="CQ18" s="22">
        <v>0</v>
      </c>
      <c r="CR18" s="22">
        <v>67093.789999999994</v>
      </c>
      <c r="CS18" s="22">
        <v>21510.240000000002</v>
      </c>
      <c r="CT18" s="22">
        <v>13831.29</v>
      </c>
      <c r="CU18" s="22">
        <v>35938.550000000003</v>
      </c>
      <c r="CV18" s="22">
        <v>45638.22</v>
      </c>
      <c r="CW18" s="22">
        <v>50168.53</v>
      </c>
      <c r="CX18" s="22">
        <v>31207.96</v>
      </c>
      <c r="CY18" s="22">
        <v>7368.71</v>
      </c>
      <c r="CZ18" s="22">
        <v>56371.25</v>
      </c>
      <c r="DA18" s="19">
        <v>140571</v>
      </c>
      <c r="DB18" s="45"/>
      <c r="DC18" s="19">
        <v>51225</v>
      </c>
      <c r="DD18" s="19">
        <v>46102</v>
      </c>
      <c r="DE18" s="19">
        <v>49080</v>
      </c>
      <c r="DF18" s="19">
        <v>45820</v>
      </c>
      <c r="DG18" s="22">
        <v>5072.58</v>
      </c>
      <c r="DH18" s="22">
        <v>4088.78</v>
      </c>
      <c r="DI18" s="22">
        <v>0</v>
      </c>
      <c r="DJ18" s="22">
        <v>0</v>
      </c>
      <c r="DK18" s="22">
        <v>0</v>
      </c>
      <c r="DL18" s="22">
        <v>0</v>
      </c>
      <c r="DM18" s="22">
        <v>4858.53</v>
      </c>
      <c r="DN18" s="22">
        <v>484.27</v>
      </c>
      <c r="DO18" s="22">
        <v>1781.02</v>
      </c>
      <c r="DP18" s="1"/>
      <c r="DQ18" s="19">
        <v>426</v>
      </c>
      <c r="DR18" s="19">
        <v>4299</v>
      </c>
      <c r="DS18" s="19">
        <v>1670060</v>
      </c>
      <c r="DT18" s="19">
        <v>3492</v>
      </c>
      <c r="DU18" s="22">
        <v>161339</v>
      </c>
      <c r="DV18" s="19">
        <v>2925173</v>
      </c>
      <c r="DW18" s="19">
        <v>47427</v>
      </c>
      <c r="DX18" s="19">
        <v>47476</v>
      </c>
      <c r="DY18" s="19">
        <v>1108</v>
      </c>
      <c r="DZ18" s="19">
        <v>42878</v>
      </c>
      <c r="EA18" s="19">
        <v>41057</v>
      </c>
      <c r="EB18" s="19">
        <v>1500</v>
      </c>
      <c r="EC18" s="19">
        <v>10840</v>
      </c>
      <c r="ED18" s="19">
        <v>3946</v>
      </c>
      <c r="EE18" s="19">
        <v>114</v>
      </c>
      <c r="EF18" s="19">
        <v>2713</v>
      </c>
      <c r="EG18" s="22">
        <v>475</v>
      </c>
      <c r="EH18" s="19">
        <v>136537</v>
      </c>
      <c r="EI18" s="19">
        <v>131400</v>
      </c>
      <c r="EJ18" s="22">
        <v>13728</v>
      </c>
      <c r="EK18" s="22">
        <v>145971.26999999999</v>
      </c>
      <c r="EL18" s="22">
        <v>522562.26</v>
      </c>
      <c r="EM18" s="22">
        <v>1881668.59</v>
      </c>
      <c r="EN18" s="22">
        <v>-74050.34</v>
      </c>
      <c r="EO18" s="22">
        <v>160540.34</v>
      </c>
      <c r="EP18" s="22">
        <v>-1519606.67</v>
      </c>
      <c r="EQ18" s="22">
        <v>232083.56</v>
      </c>
      <c r="ER18" s="22">
        <v>0</v>
      </c>
      <c r="ES18" s="22">
        <v>-68148.69</v>
      </c>
      <c r="ET18" s="22">
        <v>11019.81</v>
      </c>
      <c r="EU18" s="22">
        <v>-74585.5</v>
      </c>
      <c r="EV18" s="22">
        <v>-68612.179999999993</v>
      </c>
      <c r="EW18" s="2"/>
    </row>
    <row r="19" spans="1:153" ht="12" customHeight="1">
      <c r="A19" s="1" t="s">
        <v>331</v>
      </c>
      <c r="B19" s="19">
        <v>15</v>
      </c>
      <c r="C19" s="19">
        <v>15</v>
      </c>
      <c r="D19" s="1" t="s">
        <v>4</v>
      </c>
      <c r="E19" s="19">
        <v>15</v>
      </c>
      <c r="F19" s="19">
        <v>22</v>
      </c>
      <c r="G19" s="20">
        <v>12</v>
      </c>
      <c r="H19" s="20">
        <v>1</v>
      </c>
      <c r="I19" s="20">
        <v>2</v>
      </c>
      <c r="J19" s="20"/>
      <c r="K19" s="20"/>
      <c r="L19" s="20" t="s">
        <v>4</v>
      </c>
      <c r="M19" s="21" t="s">
        <v>4</v>
      </c>
      <c r="N19" s="19">
        <v>5</v>
      </c>
      <c r="O19" s="1" t="s">
        <v>4</v>
      </c>
      <c r="P19" s="19">
        <v>5</v>
      </c>
      <c r="Q19" s="19">
        <v>0</v>
      </c>
      <c r="R19" s="20">
        <v>1</v>
      </c>
      <c r="S19" s="20">
        <v>1</v>
      </c>
      <c r="T19" s="20"/>
      <c r="U19" s="20">
        <v>11</v>
      </c>
      <c r="V19" s="20"/>
      <c r="W19" s="20" t="s">
        <v>4</v>
      </c>
      <c r="X19" s="21" t="s">
        <v>4</v>
      </c>
      <c r="Y19" s="19">
        <v>636707</v>
      </c>
      <c r="Z19" s="45"/>
      <c r="AA19" s="19">
        <v>476484</v>
      </c>
      <c r="AB19" s="45"/>
      <c r="AC19" s="19">
        <v>947</v>
      </c>
      <c r="AD19" s="22">
        <v>125084250.7</v>
      </c>
      <c r="AE19" s="22">
        <v>117367609.90000001</v>
      </c>
      <c r="AF19" s="22">
        <v>77302039.040000007</v>
      </c>
      <c r="AG19" s="22">
        <v>40065570.859999999</v>
      </c>
      <c r="AH19" s="22">
        <v>0</v>
      </c>
      <c r="AI19" s="22">
        <v>0</v>
      </c>
      <c r="AJ19" s="22">
        <v>7716640.7999999998</v>
      </c>
      <c r="AK19" s="22">
        <v>113861288.81999999</v>
      </c>
      <c r="AL19" s="22">
        <v>5127000</v>
      </c>
      <c r="AM19" s="22">
        <v>201071480.71000001</v>
      </c>
      <c r="AN19" s="22">
        <v>159952271.97</v>
      </c>
      <c r="AO19" s="22">
        <v>82903325.519999996</v>
      </c>
      <c r="AP19" s="22">
        <v>9823372.7599999998</v>
      </c>
      <c r="AQ19" s="22">
        <v>15975094.93</v>
      </c>
      <c r="AR19" s="22">
        <v>22763220.710000001</v>
      </c>
      <c r="AS19" s="22">
        <v>0</v>
      </c>
      <c r="AT19" s="22">
        <v>0</v>
      </c>
      <c r="AU19" s="22">
        <v>11514299.24</v>
      </c>
      <c r="AV19" s="22">
        <v>16972958.809999999</v>
      </c>
      <c r="AW19" s="22">
        <v>0</v>
      </c>
      <c r="AX19" s="22">
        <v>0</v>
      </c>
      <c r="AY19" s="22">
        <v>0</v>
      </c>
      <c r="AZ19" s="22">
        <v>4502137.8099999996</v>
      </c>
      <c r="BA19" s="22">
        <v>0</v>
      </c>
      <c r="BB19" s="22">
        <v>36617070.93</v>
      </c>
      <c r="BC19" s="22">
        <v>0</v>
      </c>
      <c r="BD19" s="22">
        <v>0</v>
      </c>
      <c r="BE19" s="22">
        <v>0</v>
      </c>
      <c r="BF19" s="22">
        <v>19215649.030000001</v>
      </c>
      <c r="BG19" s="22">
        <v>0</v>
      </c>
      <c r="BH19" s="22">
        <v>2926041.81</v>
      </c>
      <c r="BI19" s="22">
        <v>9796740.5199999996</v>
      </c>
      <c r="BJ19" s="22">
        <v>0</v>
      </c>
      <c r="BK19" s="22">
        <v>12344950.32</v>
      </c>
      <c r="BL19" s="22">
        <v>22141690.84</v>
      </c>
      <c r="BM19" s="22">
        <v>0</v>
      </c>
      <c r="BN19" s="22">
        <v>225436.44</v>
      </c>
      <c r="BO19" s="22">
        <v>594066.12</v>
      </c>
      <c r="BP19" s="22">
        <v>0</v>
      </c>
      <c r="BQ19" s="22">
        <v>819502.56</v>
      </c>
      <c r="BR19" s="22">
        <v>0</v>
      </c>
      <c r="BS19" s="22">
        <v>0</v>
      </c>
      <c r="BT19" s="22">
        <v>819502.56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19">
        <v>505536</v>
      </c>
      <c r="CD19" s="45"/>
      <c r="CE19" s="19">
        <v>140131</v>
      </c>
      <c r="CF19" s="19">
        <v>125956</v>
      </c>
      <c r="CG19" s="19">
        <v>85118</v>
      </c>
      <c r="CH19" s="19">
        <v>127403</v>
      </c>
      <c r="CI19" s="19">
        <v>85506</v>
      </c>
      <c r="CJ19" s="19">
        <v>119561</v>
      </c>
      <c r="CK19" s="19">
        <v>79551</v>
      </c>
      <c r="CL19" s="22">
        <v>67997.7</v>
      </c>
      <c r="CM19" s="22">
        <v>26547.53</v>
      </c>
      <c r="CN19" s="22">
        <v>2953.11</v>
      </c>
      <c r="CO19" s="22">
        <v>0</v>
      </c>
      <c r="CP19" s="22">
        <v>0</v>
      </c>
      <c r="CQ19" s="22">
        <v>0</v>
      </c>
      <c r="CR19" s="22">
        <v>32572.54</v>
      </c>
      <c r="CS19" s="22">
        <v>35425.160000000003</v>
      </c>
      <c r="CT19" s="22">
        <v>0</v>
      </c>
      <c r="CU19" s="22">
        <v>16951.330000000002</v>
      </c>
      <c r="CV19" s="22">
        <v>26436.61</v>
      </c>
      <c r="CW19" s="22">
        <v>27043.75</v>
      </c>
      <c r="CX19" s="22">
        <v>14075.73</v>
      </c>
      <c r="CY19" s="22">
        <v>2010.81</v>
      </c>
      <c r="CZ19" s="22">
        <v>20137.310000000001</v>
      </c>
      <c r="DA19" s="19">
        <v>417306</v>
      </c>
      <c r="DB19" s="45"/>
      <c r="DC19" s="19">
        <v>114306</v>
      </c>
      <c r="DD19" s="19">
        <v>108181</v>
      </c>
      <c r="DE19" s="19">
        <v>106958</v>
      </c>
      <c r="DF19" s="19">
        <v>100639</v>
      </c>
      <c r="DG19" s="22">
        <v>23315.79</v>
      </c>
      <c r="DH19" s="22">
        <v>22994.62</v>
      </c>
      <c r="DI19" s="22">
        <v>0</v>
      </c>
      <c r="DJ19" s="22">
        <v>0</v>
      </c>
      <c r="DK19" s="22">
        <v>0</v>
      </c>
      <c r="DL19" s="22">
        <v>0</v>
      </c>
      <c r="DM19" s="22">
        <v>14553.28</v>
      </c>
      <c r="DN19" s="22">
        <v>1087.3900000000001</v>
      </c>
      <c r="DO19" s="22">
        <v>3290.96</v>
      </c>
      <c r="DP19" s="1"/>
      <c r="DQ19" s="19">
        <v>10</v>
      </c>
      <c r="DR19" s="19">
        <v>66</v>
      </c>
      <c r="DS19" s="19">
        <v>0</v>
      </c>
      <c r="DT19" s="19">
        <v>10</v>
      </c>
      <c r="DU19" s="22">
        <v>66.2</v>
      </c>
      <c r="DV19" s="19">
        <v>0</v>
      </c>
      <c r="DW19" s="19">
        <v>40320</v>
      </c>
      <c r="DX19" s="19">
        <v>62857</v>
      </c>
      <c r="DY19" s="19">
        <v>992</v>
      </c>
      <c r="DZ19" s="19">
        <v>40320</v>
      </c>
      <c r="EA19" s="19">
        <v>56814</v>
      </c>
      <c r="EB19" s="19">
        <v>566</v>
      </c>
      <c r="EC19" s="19">
        <v>1440</v>
      </c>
      <c r="ED19" s="19">
        <v>931</v>
      </c>
      <c r="EE19" s="19">
        <v>0</v>
      </c>
      <c r="EF19" s="19">
        <v>3690</v>
      </c>
      <c r="EG19" s="22">
        <v>178</v>
      </c>
      <c r="EH19" s="19">
        <v>1974</v>
      </c>
      <c r="EI19" s="19">
        <v>932</v>
      </c>
      <c r="EJ19" s="22">
        <v>432.4</v>
      </c>
      <c r="EK19" s="22">
        <v>19478</v>
      </c>
      <c r="EL19" s="22">
        <v>98842</v>
      </c>
      <c r="EM19" s="22">
        <v>270256</v>
      </c>
      <c r="EN19" s="22">
        <v>-46683</v>
      </c>
      <c r="EO19" s="22">
        <v>459096</v>
      </c>
      <c r="EP19" s="22">
        <v>-630510</v>
      </c>
      <c r="EQ19" s="22">
        <v>121542</v>
      </c>
      <c r="ER19" s="22">
        <v>0</v>
      </c>
      <c r="ES19" s="22">
        <v>-46683</v>
      </c>
      <c r="ET19" s="22">
        <v>0</v>
      </c>
      <c r="EU19" s="22">
        <v>-42181</v>
      </c>
      <c r="EV19" s="22">
        <v>-42181</v>
      </c>
      <c r="EW19" s="2"/>
    </row>
    <row r="20" spans="1:153" ht="12" customHeight="1">
      <c r="A20" s="1" t="s">
        <v>332</v>
      </c>
      <c r="B20" s="19">
        <v>144</v>
      </c>
      <c r="C20" s="19">
        <v>144</v>
      </c>
      <c r="D20" s="1" t="s">
        <v>4</v>
      </c>
      <c r="E20" s="19">
        <v>144</v>
      </c>
      <c r="F20" s="19">
        <v>87</v>
      </c>
      <c r="G20" s="20">
        <v>137</v>
      </c>
      <c r="H20" s="20">
        <v>1</v>
      </c>
      <c r="I20" s="20">
        <v>0</v>
      </c>
      <c r="J20" s="20">
        <v>0</v>
      </c>
      <c r="K20" s="20">
        <v>0</v>
      </c>
      <c r="L20" s="20" t="s">
        <v>4</v>
      </c>
      <c r="M20" s="21" t="s">
        <v>4</v>
      </c>
      <c r="N20" s="19">
        <v>25</v>
      </c>
      <c r="O20" s="1" t="s">
        <v>4</v>
      </c>
      <c r="P20" s="19">
        <v>23</v>
      </c>
      <c r="Q20" s="19">
        <v>5</v>
      </c>
      <c r="R20" s="20">
        <v>22</v>
      </c>
      <c r="S20" s="20">
        <v>0</v>
      </c>
      <c r="T20" s="20">
        <v>0</v>
      </c>
      <c r="U20" s="20">
        <v>81</v>
      </c>
      <c r="V20" s="20">
        <v>1</v>
      </c>
      <c r="W20" s="20" t="s">
        <v>4</v>
      </c>
      <c r="X20" s="21" t="s">
        <v>4</v>
      </c>
      <c r="Y20" s="19">
        <v>1790439</v>
      </c>
      <c r="Z20" s="45"/>
      <c r="AA20" s="19">
        <v>1052283</v>
      </c>
      <c r="AB20" s="45"/>
      <c r="AC20" s="19">
        <v>1570</v>
      </c>
      <c r="AD20" s="22">
        <v>726399752.38999999</v>
      </c>
      <c r="AE20" s="22">
        <v>675974159.13</v>
      </c>
      <c r="AF20" s="22">
        <v>513456541.42000002</v>
      </c>
      <c r="AG20" s="22">
        <v>162517617.71000001</v>
      </c>
      <c r="AH20" s="22">
        <v>0</v>
      </c>
      <c r="AI20" s="22">
        <v>0</v>
      </c>
      <c r="AJ20" s="22">
        <v>50425593.259999998</v>
      </c>
      <c r="AK20" s="22">
        <v>657711819.15999997</v>
      </c>
      <c r="AL20" s="22">
        <v>184129438.97</v>
      </c>
      <c r="AM20" s="22">
        <v>597061473.62</v>
      </c>
      <c r="AN20" s="22">
        <v>388668370.69999999</v>
      </c>
      <c r="AO20" s="22">
        <v>123082022.58</v>
      </c>
      <c r="AP20" s="22">
        <v>9471833.9600000009</v>
      </c>
      <c r="AQ20" s="22">
        <v>44227639.289999999</v>
      </c>
      <c r="AR20" s="22">
        <v>41622016.920000002</v>
      </c>
      <c r="AS20" s="22">
        <v>0</v>
      </c>
      <c r="AT20" s="22">
        <v>0</v>
      </c>
      <c r="AU20" s="22">
        <v>58727295.829999998</v>
      </c>
      <c r="AV20" s="22">
        <v>111537562.12</v>
      </c>
      <c r="AW20" s="22">
        <v>57828525.990000002</v>
      </c>
      <c r="AX20" s="22">
        <v>8024177.4800000004</v>
      </c>
      <c r="AY20" s="22">
        <v>65852703.469999999</v>
      </c>
      <c r="AZ20" s="22">
        <v>116334939.64</v>
      </c>
      <c r="BA20" s="22">
        <v>9112736.7100000009</v>
      </c>
      <c r="BB20" s="22">
        <v>17092723.100000001</v>
      </c>
      <c r="BC20" s="22">
        <v>144956895.16999999</v>
      </c>
      <c r="BD20" s="22">
        <v>210809598.63999999</v>
      </c>
      <c r="BE20" s="22">
        <v>28446.51</v>
      </c>
      <c r="BF20" s="22">
        <v>118432008.98999999</v>
      </c>
      <c r="BG20" s="22">
        <v>201285170.66</v>
      </c>
      <c r="BH20" s="22">
        <v>7247138.2599999998</v>
      </c>
      <c r="BI20" s="22">
        <v>132796803.51000001</v>
      </c>
      <c r="BJ20" s="22">
        <v>194180460.88</v>
      </c>
      <c r="BK20" s="22">
        <v>0</v>
      </c>
      <c r="BL20" s="22">
        <v>326992764.42000002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19">
        <v>1422280</v>
      </c>
      <c r="CD20" s="45"/>
      <c r="CE20" s="19">
        <v>629607</v>
      </c>
      <c r="CF20" s="19">
        <v>555296</v>
      </c>
      <c r="CG20" s="19">
        <v>548848</v>
      </c>
      <c r="CH20" s="19">
        <v>584727</v>
      </c>
      <c r="CI20" s="19">
        <v>580804</v>
      </c>
      <c r="CJ20" s="19">
        <v>493536</v>
      </c>
      <c r="CK20" s="19">
        <v>490375</v>
      </c>
      <c r="CL20" s="22">
        <v>118192.05</v>
      </c>
      <c r="CM20" s="22">
        <v>93393.62</v>
      </c>
      <c r="CN20" s="22">
        <v>2778.73</v>
      </c>
      <c r="CO20" s="22">
        <v>0</v>
      </c>
      <c r="CP20" s="22">
        <v>0</v>
      </c>
      <c r="CQ20" s="22">
        <v>667</v>
      </c>
      <c r="CR20" s="22">
        <v>65518.21</v>
      </c>
      <c r="CS20" s="22">
        <v>50152.87</v>
      </c>
      <c r="CT20" s="22">
        <v>82323.61</v>
      </c>
      <c r="CU20" s="22">
        <v>69110.97</v>
      </c>
      <c r="CV20" s="22">
        <v>75489.64</v>
      </c>
      <c r="CW20" s="22">
        <v>80401.78</v>
      </c>
      <c r="CX20" s="22">
        <v>57121.98</v>
      </c>
      <c r="CY20" s="22">
        <v>10413.799999999999</v>
      </c>
      <c r="CZ20" s="22">
        <v>61792.9</v>
      </c>
      <c r="DA20" s="19">
        <v>541112</v>
      </c>
      <c r="DB20" s="45"/>
      <c r="DC20" s="19">
        <v>193635</v>
      </c>
      <c r="DD20" s="19">
        <v>182775</v>
      </c>
      <c r="DE20" s="19">
        <v>194440</v>
      </c>
      <c r="DF20" s="19">
        <v>172682</v>
      </c>
      <c r="DG20" s="22">
        <v>21535.58</v>
      </c>
      <c r="DH20" s="22">
        <v>21443.27</v>
      </c>
      <c r="DI20" s="22">
        <v>0</v>
      </c>
      <c r="DJ20" s="22">
        <v>0</v>
      </c>
      <c r="DK20" s="22">
        <v>0</v>
      </c>
      <c r="DL20" s="22">
        <v>0</v>
      </c>
      <c r="DM20" s="22">
        <v>26359.65</v>
      </c>
      <c r="DN20" s="22">
        <v>3034.08</v>
      </c>
      <c r="DO20" s="22">
        <v>8881.15</v>
      </c>
      <c r="DP20" s="1"/>
      <c r="DQ20" s="19">
        <v>602</v>
      </c>
      <c r="DR20" s="19">
        <v>6132</v>
      </c>
      <c r="DS20" s="19">
        <v>1403300</v>
      </c>
      <c r="DT20" s="19">
        <v>268</v>
      </c>
      <c r="DU20" s="22">
        <v>1711.72</v>
      </c>
      <c r="DV20" s="19">
        <v>37329</v>
      </c>
      <c r="DW20" s="19">
        <v>238003</v>
      </c>
      <c r="DX20" s="19">
        <v>250740</v>
      </c>
      <c r="DY20" s="19">
        <v>242</v>
      </c>
      <c r="DZ20" s="19">
        <v>277251</v>
      </c>
      <c r="EA20" s="19">
        <v>287573</v>
      </c>
      <c r="EB20" s="19">
        <v>512</v>
      </c>
      <c r="EC20" s="19">
        <v>42150</v>
      </c>
      <c r="ED20" s="19">
        <v>45779</v>
      </c>
      <c r="EE20" s="19">
        <v>1119</v>
      </c>
      <c r="EF20" s="19">
        <v>360</v>
      </c>
      <c r="EG20" s="22">
        <v>0</v>
      </c>
      <c r="EH20" s="19">
        <v>5886</v>
      </c>
      <c r="EI20" s="19">
        <v>5886</v>
      </c>
      <c r="EJ20" s="22">
        <v>89</v>
      </c>
      <c r="EK20" s="22">
        <v>266983.18</v>
      </c>
      <c r="EL20" s="22">
        <v>2104776.13</v>
      </c>
      <c r="EM20" s="22">
        <v>1726010.06</v>
      </c>
      <c r="EN20" s="22">
        <v>26052.78</v>
      </c>
      <c r="EO20" s="22">
        <v>242174.55</v>
      </c>
      <c r="EP20" s="22">
        <v>135843.31</v>
      </c>
      <c r="EQ20" s="22">
        <v>591586.28</v>
      </c>
      <c r="ER20" s="22">
        <v>8960</v>
      </c>
      <c r="ES20" s="22">
        <v>190491.32</v>
      </c>
      <c r="ET20" s="22">
        <v>184096.83</v>
      </c>
      <c r="EU20" s="22">
        <v>134322.35</v>
      </c>
      <c r="EV20" s="22">
        <v>298764.90000000002</v>
      </c>
      <c r="EW20" s="2"/>
    </row>
    <row r="21" spans="1:153" ht="12" customHeight="1">
      <c r="A21" s="23" t="s">
        <v>333</v>
      </c>
      <c r="B21" s="24">
        <v>423</v>
      </c>
      <c r="C21" s="24">
        <v>423</v>
      </c>
      <c r="D21" s="18" t="s">
        <v>4</v>
      </c>
      <c r="E21" s="24">
        <v>423</v>
      </c>
      <c r="F21" s="25">
        <f>SUM(F14:F20)</f>
        <v>1834</v>
      </c>
      <c r="G21" s="24">
        <v>276</v>
      </c>
      <c r="H21" s="24">
        <v>10</v>
      </c>
      <c r="I21" s="24">
        <v>35</v>
      </c>
      <c r="J21" s="24">
        <v>0</v>
      </c>
      <c r="K21" s="24">
        <v>0</v>
      </c>
      <c r="L21" s="24" t="s">
        <v>4</v>
      </c>
      <c r="M21" s="26" t="s">
        <v>4</v>
      </c>
      <c r="N21" s="24">
        <v>82</v>
      </c>
      <c r="O21" s="18" t="s">
        <v>4</v>
      </c>
      <c r="P21" s="24">
        <v>80</v>
      </c>
      <c r="Q21" s="25">
        <f>SUM(Q14:Q20)</f>
        <v>60</v>
      </c>
      <c r="R21" s="24">
        <v>41</v>
      </c>
      <c r="S21" s="24">
        <v>1</v>
      </c>
      <c r="T21" s="24">
        <v>6</v>
      </c>
      <c r="U21" s="24">
        <v>182</v>
      </c>
      <c r="V21" s="24">
        <v>9</v>
      </c>
      <c r="W21" s="24" t="s">
        <v>4</v>
      </c>
      <c r="X21" s="26" t="s">
        <v>4</v>
      </c>
      <c r="Y21" s="24">
        <v>16876879</v>
      </c>
      <c r="Z21" s="45"/>
      <c r="AA21" s="24">
        <v>9540669</v>
      </c>
      <c r="AB21" s="45"/>
      <c r="AC21" s="25">
        <f t="shared" ref="AC21:BH21" si="0">SUM(AC14:AC20)</f>
        <v>11470</v>
      </c>
      <c r="AD21" s="25">
        <f t="shared" si="0"/>
        <v>2760090132.3299999</v>
      </c>
      <c r="AE21" s="25">
        <f t="shared" si="0"/>
        <v>2589171384.9200001</v>
      </c>
      <c r="AF21" s="25">
        <f t="shared" si="0"/>
        <v>2205965383.1999998</v>
      </c>
      <c r="AG21" s="25">
        <f t="shared" si="0"/>
        <v>381525901.72000003</v>
      </c>
      <c r="AH21" s="25">
        <f t="shared" si="0"/>
        <v>1680100</v>
      </c>
      <c r="AI21" s="25">
        <f t="shared" si="0"/>
        <v>0</v>
      </c>
      <c r="AJ21" s="25">
        <f t="shared" si="0"/>
        <v>170918747.41</v>
      </c>
      <c r="AK21" s="25">
        <f t="shared" si="0"/>
        <v>2213216356.9499998</v>
      </c>
      <c r="AL21" s="25">
        <f t="shared" si="0"/>
        <v>1020476357.24</v>
      </c>
      <c r="AM21" s="25">
        <f t="shared" si="0"/>
        <v>3466302295.7599998</v>
      </c>
      <c r="AN21" s="25">
        <f t="shared" si="0"/>
        <v>2226744040.23</v>
      </c>
      <c r="AO21" s="25">
        <f t="shared" si="0"/>
        <v>820750697.59000003</v>
      </c>
      <c r="AP21" s="25">
        <f t="shared" si="0"/>
        <v>134469386.65000001</v>
      </c>
      <c r="AQ21" s="25">
        <f t="shared" si="0"/>
        <v>416530224.86000001</v>
      </c>
      <c r="AR21" s="25">
        <f t="shared" si="0"/>
        <v>430079935.81</v>
      </c>
      <c r="AS21" s="25">
        <f t="shared" si="0"/>
        <v>33321794.399999999</v>
      </c>
      <c r="AT21" s="25">
        <f t="shared" si="0"/>
        <v>0</v>
      </c>
      <c r="AU21" s="25">
        <f t="shared" si="0"/>
        <v>151036527.63999999</v>
      </c>
      <c r="AV21" s="25">
        <f t="shared" si="0"/>
        <v>240555473.28</v>
      </c>
      <c r="AW21" s="25">
        <f t="shared" si="0"/>
        <v>447329994.13</v>
      </c>
      <c r="AX21" s="25">
        <f t="shared" si="0"/>
        <v>14339437.030000001</v>
      </c>
      <c r="AY21" s="25">
        <f t="shared" si="0"/>
        <v>461669431.15999997</v>
      </c>
      <c r="AZ21" s="25">
        <f t="shared" si="0"/>
        <v>408425254.16999996</v>
      </c>
      <c r="BA21" s="25">
        <f t="shared" si="0"/>
        <v>63202455.509999998</v>
      </c>
      <c r="BB21" s="25">
        <f t="shared" si="0"/>
        <v>306261114.67000002</v>
      </c>
      <c r="BC21" s="25">
        <f t="shared" si="0"/>
        <v>248353136.21999997</v>
      </c>
      <c r="BD21" s="25">
        <f t="shared" si="0"/>
        <v>710022567.38</v>
      </c>
      <c r="BE21" s="25">
        <f t="shared" si="0"/>
        <v>1036738.4</v>
      </c>
      <c r="BF21" s="25">
        <f t="shared" si="0"/>
        <v>413814013.49000001</v>
      </c>
      <c r="BG21" s="25">
        <f t="shared" si="0"/>
        <v>276584737.27999997</v>
      </c>
      <c r="BH21" s="25">
        <f t="shared" si="0"/>
        <v>75681628.639999986</v>
      </c>
      <c r="BI21" s="25">
        <f t="shared" ref="BI21:CN21" si="1">SUM(BI14:BI20)</f>
        <v>414946834.96999997</v>
      </c>
      <c r="BJ21" s="25">
        <f t="shared" si="1"/>
        <v>339592998.16999996</v>
      </c>
      <c r="BK21" s="25">
        <f t="shared" si="1"/>
        <v>12561784.640000001</v>
      </c>
      <c r="BL21" s="25">
        <f t="shared" si="1"/>
        <v>767117117.81000006</v>
      </c>
      <c r="BM21" s="25">
        <f t="shared" si="1"/>
        <v>1781943.07</v>
      </c>
      <c r="BN21" s="25">
        <f t="shared" si="1"/>
        <v>22243897.800000004</v>
      </c>
      <c r="BO21" s="25">
        <f t="shared" si="1"/>
        <v>9501616</v>
      </c>
      <c r="BP21" s="25">
        <f t="shared" si="1"/>
        <v>2638427.5799999996</v>
      </c>
      <c r="BQ21" s="25">
        <f t="shared" si="1"/>
        <v>24877285.949999999</v>
      </c>
      <c r="BR21" s="25">
        <f t="shared" si="1"/>
        <v>2516601.1</v>
      </c>
      <c r="BS21" s="25">
        <f t="shared" si="1"/>
        <v>9471673.3200000003</v>
      </c>
      <c r="BT21" s="25">
        <f t="shared" si="1"/>
        <v>36075884.450000003</v>
      </c>
      <c r="BU21" s="25">
        <f t="shared" si="1"/>
        <v>3099763.39</v>
      </c>
      <c r="BV21" s="25">
        <f t="shared" si="1"/>
        <v>90230859.510000005</v>
      </c>
      <c r="BW21" s="25">
        <f t="shared" si="1"/>
        <v>68968287.289999992</v>
      </c>
      <c r="BX21" s="25">
        <f t="shared" si="1"/>
        <v>8533441.9600000009</v>
      </c>
      <c r="BY21" s="25">
        <f t="shared" si="1"/>
        <v>6699860.2800000003</v>
      </c>
      <c r="BZ21" s="25">
        <f t="shared" si="1"/>
        <v>2500000</v>
      </c>
      <c r="CA21" s="25">
        <f t="shared" si="1"/>
        <v>160911517.48000002</v>
      </c>
      <c r="CB21" s="25">
        <f t="shared" si="1"/>
        <v>170111377.75999999</v>
      </c>
      <c r="CC21" s="25">
        <f t="shared" si="1"/>
        <v>10838115</v>
      </c>
      <c r="CD21" s="45"/>
      <c r="CE21" s="25">
        <f t="shared" si="1"/>
        <v>3658683</v>
      </c>
      <c r="CF21" s="25">
        <f t="shared" si="1"/>
        <v>2910879</v>
      </c>
      <c r="CG21" s="25">
        <f t="shared" si="1"/>
        <v>1738807</v>
      </c>
      <c r="CH21" s="25">
        <f t="shared" si="1"/>
        <v>3323696</v>
      </c>
      <c r="CI21" s="25">
        <f t="shared" si="1"/>
        <v>1989311</v>
      </c>
      <c r="CJ21" s="25">
        <f t="shared" si="1"/>
        <v>2765029</v>
      </c>
      <c r="CK21" s="25">
        <f t="shared" si="1"/>
        <v>1778349</v>
      </c>
      <c r="CL21" s="25">
        <f t="shared" si="1"/>
        <v>1181276.1800000002</v>
      </c>
      <c r="CM21" s="25">
        <f t="shared" si="1"/>
        <v>572637.16999999993</v>
      </c>
      <c r="CN21" s="25">
        <f t="shared" si="1"/>
        <v>61618.3</v>
      </c>
      <c r="CO21" s="25">
        <f t="shared" ref="CO21:DO21" si="2">SUM(CO14:CO20)</f>
        <v>71092.490000000005</v>
      </c>
      <c r="CP21" s="25">
        <f t="shared" si="2"/>
        <v>1729</v>
      </c>
      <c r="CQ21" s="25">
        <f t="shared" si="2"/>
        <v>13437</v>
      </c>
      <c r="CR21" s="25">
        <f t="shared" si="2"/>
        <v>667716.26</v>
      </c>
      <c r="CS21" s="25">
        <f t="shared" si="2"/>
        <v>349732.53</v>
      </c>
      <c r="CT21" s="25">
        <f t="shared" si="2"/>
        <v>373261.32</v>
      </c>
      <c r="CU21" s="25">
        <f t="shared" si="2"/>
        <v>278592.02</v>
      </c>
      <c r="CV21" s="25">
        <f t="shared" si="2"/>
        <v>631849.19999999995</v>
      </c>
      <c r="CW21" s="25">
        <f t="shared" si="2"/>
        <v>536453.3600000001</v>
      </c>
      <c r="CX21" s="25">
        <f t="shared" si="2"/>
        <v>237211.07</v>
      </c>
      <c r="CY21" s="25">
        <f t="shared" si="2"/>
        <v>55428.989999999991</v>
      </c>
      <c r="CZ21" s="25">
        <f t="shared" si="2"/>
        <v>733161.34000000008</v>
      </c>
      <c r="DA21" s="25">
        <f t="shared" si="2"/>
        <v>2477870</v>
      </c>
      <c r="DB21" s="45"/>
      <c r="DC21" s="25">
        <f t="shared" si="2"/>
        <v>706727</v>
      </c>
      <c r="DD21" s="25">
        <f t="shared" si="2"/>
        <v>590509</v>
      </c>
      <c r="DE21" s="25">
        <f t="shared" si="2"/>
        <v>631722</v>
      </c>
      <c r="DF21" s="25">
        <f t="shared" si="2"/>
        <v>547635</v>
      </c>
      <c r="DG21" s="25">
        <f t="shared" si="2"/>
        <v>108607.15999999999</v>
      </c>
      <c r="DH21" s="25">
        <f t="shared" si="2"/>
        <v>90035.55</v>
      </c>
      <c r="DI21" s="25">
        <f t="shared" si="2"/>
        <v>2840</v>
      </c>
      <c r="DJ21" s="25">
        <f t="shared" si="2"/>
        <v>0</v>
      </c>
      <c r="DK21" s="25">
        <f t="shared" si="2"/>
        <v>0</v>
      </c>
      <c r="DL21" s="25">
        <f t="shared" si="2"/>
        <v>0</v>
      </c>
      <c r="DM21" s="25">
        <f t="shared" si="2"/>
        <v>87043.97</v>
      </c>
      <c r="DN21" s="25">
        <f t="shared" si="2"/>
        <v>8760.130000000001</v>
      </c>
      <c r="DO21" s="25">
        <f t="shared" si="2"/>
        <v>22680.9</v>
      </c>
      <c r="DP21" s="18"/>
      <c r="DQ21" s="25">
        <v>4745</v>
      </c>
      <c r="DR21" s="25">
        <v>46964</v>
      </c>
      <c r="DS21" s="25">
        <v>4596524</v>
      </c>
      <c r="DT21" s="25">
        <v>9174</v>
      </c>
      <c r="DU21" s="25">
        <v>243082.89</v>
      </c>
      <c r="DV21" s="25">
        <v>3330547</v>
      </c>
      <c r="DW21" s="25">
        <v>709055</v>
      </c>
      <c r="DX21" s="25">
        <v>692098</v>
      </c>
      <c r="DY21" s="25">
        <v>12327</v>
      </c>
      <c r="DZ21" s="25">
        <v>744754</v>
      </c>
      <c r="EA21" s="25">
        <v>642659</v>
      </c>
      <c r="EB21" s="25">
        <v>14071</v>
      </c>
      <c r="EC21" s="25">
        <v>219246</v>
      </c>
      <c r="ED21" s="25">
        <v>160607</v>
      </c>
      <c r="EE21" s="25">
        <v>9077</v>
      </c>
      <c r="EF21" s="25">
        <v>13841</v>
      </c>
      <c r="EG21" s="25">
        <f t="shared" ref="EG21:EV21" si="3">SUM(EG14:EG20)</f>
        <v>59936.130000000005</v>
      </c>
      <c r="EH21" s="25">
        <f t="shared" si="3"/>
        <v>550130</v>
      </c>
      <c r="EI21" s="25">
        <f t="shared" si="3"/>
        <v>480906</v>
      </c>
      <c r="EJ21" s="25">
        <f t="shared" si="3"/>
        <v>8422175.9600000009</v>
      </c>
      <c r="EK21" s="25">
        <f t="shared" si="3"/>
        <v>14817067.979999999</v>
      </c>
      <c r="EL21" s="25">
        <f t="shared" si="3"/>
        <v>291401863.49000001</v>
      </c>
      <c r="EM21" s="25">
        <f t="shared" si="3"/>
        <v>91908069.360000014</v>
      </c>
      <c r="EN21" s="25">
        <f t="shared" si="3"/>
        <v>3628027.43</v>
      </c>
      <c r="EO21" s="25">
        <f t="shared" si="3"/>
        <v>471400051.39999998</v>
      </c>
      <c r="EP21" s="25">
        <f t="shared" si="3"/>
        <v>-267462299.58999994</v>
      </c>
      <c r="EQ21" s="25">
        <f t="shared" si="3"/>
        <v>70105462.940000013</v>
      </c>
      <c r="ER21" s="25">
        <f t="shared" si="3"/>
        <v>151349.91</v>
      </c>
      <c r="ES21" s="25">
        <f t="shared" si="3"/>
        <v>-7661235.7800000003</v>
      </c>
      <c r="ET21" s="25">
        <f t="shared" si="3"/>
        <v>2952342.96</v>
      </c>
      <c r="EU21" s="25">
        <f t="shared" si="3"/>
        <v>3877416.0100000002</v>
      </c>
      <c r="EV21" s="25">
        <f t="shared" si="3"/>
        <v>-16227280.149999999</v>
      </c>
      <c r="EW21" s="2"/>
    </row>
    <row r="22" spans="1:153" ht="12" customHeight="1">
      <c r="A22" s="46" t="s">
        <v>334</v>
      </c>
      <c r="B22" s="46"/>
      <c r="C22" s="46"/>
      <c r="D22" s="46"/>
      <c r="E22" s="46"/>
      <c r="F22" s="46"/>
      <c r="G22" s="46"/>
      <c r="H22" s="4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45"/>
      <c r="AA22" s="2"/>
      <c r="AB22" s="45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45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45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</row>
    <row r="23" spans="1:153" ht="12" customHeight="1">
      <c r="A23" s="1" t="s">
        <v>335</v>
      </c>
      <c r="B23" s="19">
        <v>101</v>
      </c>
      <c r="C23" s="19">
        <v>101</v>
      </c>
      <c r="D23" s="1" t="s">
        <v>4</v>
      </c>
      <c r="E23" s="19">
        <v>101</v>
      </c>
      <c r="F23" s="19">
        <v>981</v>
      </c>
      <c r="G23" s="20">
        <v>84</v>
      </c>
      <c r="H23" s="20">
        <v>28</v>
      </c>
      <c r="I23" s="20">
        <v>10</v>
      </c>
      <c r="J23" s="20"/>
      <c r="K23" s="20"/>
      <c r="L23" s="20" t="s">
        <v>4</v>
      </c>
      <c r="M23" s="21" t="s">
        <v>4</v>
      </c>
      <c r="N23" s="19">
        <v>36</v>
      </c>
      <c r="O23" s="1" t="s">
        <v>4</v>
      </c>
      <c r="P23" s="19">
        <v>36</v>
      </c>
      <c r="Q23" s="19">
        <v>185</v>
      </c>
      <c r="R23" s="20">
        <v>19</v>
      </c>
      <c r="S23" s="20"/>
      <c r="T23" s="20">
        <v>8</v>
      </c>
      <c r="U23" s="20">
        <v>57</v>
      </c>
      <c r="V23" s="20"/>
      <c r="W23" s="20" t="s">
        <v>4</v>
      </c>
      <c r="X23" s="21" t="s">
        <v>4</v>
      </c>
      <c r="Y23" s="19">
        <v>3102943</v>
      </c>
      <c r="Z23" s="45"/>
      <c r="AA23" s="19">
        <v>2111241</v>
      </c>
      <c r="AB23" s="45"/>
      <c r="AC23" s="19">
        <v>2727</v>
      </c>
      <c r="AD23" s="22">
        <v>1049279228.52</v>
      </c>
      <c r="AE23" s="22">
        <v>1010567639.27</v>
      </c>
      <c r="AF23" s="22">
        <v>622221957.02999997</v>
      </c>
      <c r="AG23" s="22">
        <v>139419751.15000001</v>
      </c>
      <c r="AH23" s="22">
        <v>231656357.80000001</v>
      </c>
      <c r="AI23" s="22">
        <v>17269573.289999999</v>
      </c>
      <c r="AJ23" s="22">
        <v>38711589.25</v>
      </c>
      <c r="AK23" s="22">
        <v>999656579.16999996</v>
      </c>
      <c r="AL23" s="22">
        <v>1054418679.74</v>
      </c>
      <c r="AM23" s="22">
        <v>1304777182.3900001</v>
      </c>
      <c r="AN23" s="22">
        <v>969048581.02999997</v>
      </c>
      <c r="AO23" s="22">
        <v>206227994.47999999</v>
      </c>
      <c r="AP23" s="22">
        <v>16524521.359999999</v>
      </c>
      <c r="AQ23" s="22">
        <v>133199406.36</v>
      </c>
      <c r="AR23" s="22">
        <v>205251935.31</v>
      </c>
      <c r="AS23" s="22">
        <v>210423527.34999999</v>
      </c>
      <c r="AT23" s="22">
        <v>20001</v>
      </c>
      <c r="AU23" s="22">
        <v>64085885.759999998</v>
      </c>
      <c r="AV23" s="22">
        <v>133315309.20999999</v>
      </c>
      <c r="AW23" s="22">
        <v>49459262.939999998</v>
      </c>
      <c r="AX23" s="22">
        <v>21056897.02</v>
      </c>
      <c r="AY23" s="22">
        <v>70516159.959999993</v>
      </c>
      <c r="AZ23" s="22">
        <v>160142979.53</v>
      </c>
      <c r="BA23" s="22">
        <v>-15477454.68</v>
      </c>
      <c r="BB23" s="22">
        <v>120546916.55</v>
      </c>
      <c r="BC23" s="22">
        <v>1800175124.48</v>
      </c>
      <c r="BD23" s="22">
        <v>1870691284.4400001</v>
      </c>
      <c r="BE23" s="22">
        <v>0</v>
      </c>
      <c r="BF23" s="22">
        <v>102395253.58</v>
      </c>
      <c r="BG23" s="22">
        <v>64232293.310000002</v>
      </c>
      <c r="BH23" s="22">
        <v>52310763.68</v>
      </c>
      <c r="BI23" s="22">
        <v>218938310.56999999</v>
      </c>
      <c r="BJ23" s="22">
        <v>0</v>
      </c>
      <c r="BK23" s="22">
        <v>0</v>
      </c>
      <c r="BL23" s="22">
        <v>218938310.56999999</v>
      </c>
      <c r="BM23" s="22">
        <v>10000</v>
      </c>
      <c r="BN23" s="22">
        <v>5306570.24</v>
      </c>
      <c r="BO23" s="22">
        <v>383719.14</v>
      </c>
      <c r="BP23" s="22">
        <v>422450</v>
      </c>
      <c r="BQ23" s="22">
        <v>947971.68</v>
      </c>
      <c r="BR23" s="22">
        <v>5172267.7</v>
      </c>
      <c r="BS23" s="22">
        <v>2500</v>
      </c>
      <c r="BT23" s="22">
        <v>6122739.3799999999</v>
      </c>
      <c r="BU23" s="22">
        <v>4756188.6900000004</v>
      </c>
      <c r="BV23" s="22">
        <v>5019906.32</v>
      </c>
      <c r="BW23" s="22">
        <v>59633819.960000001</v>
      </c>
      <c r="BX23" s="22">
        <v>0</v>
      </c>
      <c r="BY23" s="22">
        <v>69409914.969999999</v>
      </c>
      <c r="BZ23" s="22">
        <v>0</v>
      </c>
      <c r="CA23" s="22">
        <v>0</v>
      </c>
      <c r="CB23" s="22">
        <v>69409914.969999999</v>
      </c>
      <c r="CC23" s="19">
        <v>2395755</v>
      </c>
      <c r="CD23" s="45"/>
      <c r="CE23" s="19">
        <v>913886</v>
      </c>
      <c r="CF23" s="19">
        <v>741446</v>
      </c>
      <c r="CG23" s="19">
        <v>613209</v>
      </c>
      <c r="CH23" s="19">
        <v>845365</v>
      </c>
      <c r="CI23" s="19">
        <v>712001</v>
      </c>
      <c r="CJ23" s="19">
        <v>762833</v>
      </c>
      <c r="CK23" s="19">
        <v>651281</v>
      </c>
      <c r="CL23" s="22">
        <v>261349.06</v>
      </c>
      <c r="CM23" s="22">
        <v>99011.3</v>
      </c>
      <c r="CN23" s="22">
        <v>5840.74</v>
      </c>
      <c r="CO23" s="22">
        <v>118663.11</v>
      </c>
      <c r="CP23" s="22">
        <v>830.57</v>
      </c>
      <c r="CQ23" s="22">
        <v>122803.22</v>
      </c>
      <c r="CR23" s="22">
        <v>143132.22</v>
      </c>
      <c r="CS23" s="22">
        <v>112509.93</v>
      </c>
      <c r="CT23" s="22">
        <v>21472.39</v>
      </c>
      <c r="CU23" s="22">
        <v>71033.67</v>
      </c>
      <c r="CV23" s="22">
        <v>225490.85</v>
      </c>
      <c r="CW23" s="22">
        <v>245630.53</v>
      </c>
      <c r="CX23" s="22">
        <v>59034.02</v>
      </c>
      <c r="CY23" s="22">
        <v>9913.06</v>
      </c>
      <c r="CZ23" s="22">
        <v>193013.04</v>
      </c>
      <c r="DA23" s="19">
        <v>608414</v>
      </c>
      <c r="DB23" s="45"/>
      <c r="DC23" s="19">
        <v>219387</v>
      </c>
      <c r="DD23" s="19">
        <v>187151</v>
      </c>
      <c r="DE23" s="19">
        <v>227023</v>
      </c>
      <c r="DF23" s="19">
        <v>180658</v>
      </c>
      <c r="DG23" s="22">
        <v>21393.31</v>
      </c>
      <c r="DH23" s="22">
        <v>14759.18</v>
      </c>
      <c r="DI23" s="22">
        <v>3</v>
      </c>
      <c r="DJ23" s="22">
        <v>0</v>
      </c>
      <c r="DK23" s="22">
        <v>0</v>
      </c>
      <c r="DL23" s="22">
        <v>0</v>
      </c>
      <c r="DM23" s="22">
        <v>24047.759999999998</v>
      </c>
      <c r="DN23" s="22">
        <v>1998.16</v>
      </c>
      <c r="DO23" s="22">
        <v>6977.93</v>
      </c>
      <c r="DP23" s="1"/>
      <c r="DQ23" s="19">
        <v>3223</v>
      </c>
      <c r="DR23" s="19">
        <v>63878</v>
      </c>
      <c r="DS23" s="19">
        <v>10476925</v>
      </c>
      <c r="DT23" s="19">
        <v>18703</v>
      </c>
      <c r="DU23" s="22">
        <v>417272.55</v>
      </c>
      <c r="DV23" s="19">
        <v>17568980</v>
      </c>
      <c r="DW23" s="19">
        <v>112464</v>
      </c>
      <c r="DX23" s="19">
        <v>110136</v>
      </c>
      <c r="DY23" s="19">
        <v>13524</v>
      </c>
      <c r="DZ23" s="19">
        <v>95932</v>
      </c>
      <c r="EA23" s="19">
        <v>86444</v>
      </c>
      <c r="EB23" s="19">
        <v>6802</v>
      </c>
      <c r="EC23" s="19">
        <v>39070</v>
      </c>
      <c r="ED23" s="19">
        <v>41213</v>
      </c>
      <c r="EE23" s="19">
        <v>7476</v>
      </c>
      <c r="EF23" s="19">
        <v>4845</v>
      </c>
      <c r="EG23" s="22">
        <v>51795.75</v>
      </c>
      <c r="EH23" s="19">
        <v>174216</v>
      </c>
      <c r="EI23" s="19">
        <v>147936</v>
      </c>
      <c r="EJ23" s="22">
        <v>6282905.2800000003</v>
      </c>
      <c r="EK23" s="22">
        <v>492027.36</v>
      </c>
      <c r="EL23" s="22">
        <v>4660418.9000000004</v>
      </c>
      <c r="EM23" s="22">
        <v>3877593.25</v>
      </c>
      <c r="EN23" s="22">
        <v>-188089.11</v>
      </c>
      <c r="EO23" s="22">
        <v>446145.9</v>
      </c>
      <c r="EP23" s="22">
        <v>1674885.29</v>
      </c>
      <c r="EQ23" s="22">
        <v>903281.64</v>
      </c>
      <c r="ER23" s="22">
        <v>779426</v>
      </c>
      <c r="ES23" s="22">
        <v>-96516.71</v>
      </c>
      <c r="ET23" s="22">
        <v>2114361.5499999998</v>
      </c>
      <c r="EU23" s="22">
        <v>-56301.7</v>
      </c>
      <c r="EV23" s="22">
        <v>-59471.3</v>
      </c>
      <c r="EW23" s="2"/>
    </row>
    <row r="24" spans="1:153" ht="12" customHeight="1">
      <c r="A24" s="1" t="s">
        <v>336</v>
      </c>
      <c r="B24" s="19">
        <v>409</v>
      </c>
      <c r="C24" s="19">
        <v>409</v>
      </c>
      <c r="D24" s="1" t="s">
        <v>4</v>
      </c>
      <c r="E24" s="19">
        <v>408</v>
      </c>
      <c r="F24" s="19">
        <v>2551</v>
      </c>
      <c r="G24" s="20">
        <v>310</v>
      </c>
      <c r="H24" s="20">
        <v>62</v>
      </c>
      <c r="I24" s="20">
        <v>4</v>
      </c>
      <c r="J24" s="20"/>
      <c r="K24" s="20"/>
      <c r="L24" s="20" t="s">
        <v>4</v>
      </c>
      <c r="M24" s="21" t="s">
        <v>4</v>
      </c>
      <c r="N24" s="19">
        <v>197</v>
      </c>
      <c r="O24" s="1" t="s">
        <v>4</v>
      </c>
      <c r="P24" s="19">
        <v>188</v>
      </c>
      <c r="Q24" s="19">
        <v>150</v>
      </c>
      <c r="R24" s="20">
        <v>98</v>
      </c>
      <c r="S24" s="20">
        <v>19</v>
      </c>
      <c r="T24" s="20">
        <v>0</v>
      </c>
      <c r="U24" s="20">
        <v>211</v>
      </c>
      <c r="V24" s="20">
        <v>42</v>
      </c>
      <c r="W24" s="20" t="s">
        <v>4</v>
      </c>
      <c r="X24" s="21" t="s">
        <v>4</v>
      </c>
      <c r="Y24" s="19">
        <v>13993995</v>
      </c>
      <c r="Z24" s="45"/>
      <c r="AA24" s="19">
        <v>10675503</v>
      </c>
      <c r="AB24" s="45"/>
      <c r="AC24" s="19">
        <v>7218</v>
      </c>
      <c r="AD24" s="22">
        <v>4399340038.3900003</v>
      </c>
      <c r="AE24" s="22">
        <v>4219885777.6900001</v>
      </c>
      <c r="AF24" s="22">
        <v>3106534347.3699999</v>
      </c>
      <c r="AG24" s="22">
        <v>1111995286.52</v>
      </c>
      <c r="AH24" s="22">
        <v>0</v>
      </c>
      <c r="AI24" s="22">
        <v>1356143.8</v>
      </c>
      <c r="AJ24" s="22">
        <v>179454260.69999999</v>
      </c>
      <c r="AK24" s="22">
        <v>4072592390.0900002</v>
      </c>
      <c r="AL24" s="22">
        <v>1098518002.8199999</v>
      </c>
      <c r="AM24" s="22">
        <v>4272686467.4400001</v>
      </c>
      <c r="AN24" s="22">
        <v>3416748079.6199999</v>
      </c>
      <c r="AO24" s="22">
        <v>1044174364.05</v>
      </c>
      <c r="AP24" s="22">
        <v>204901900</v>
      </c>
      <c r="AQ24" s="22">
        <v>448904158.14999998</v>
      </c>
      <c r="AR24" s="22">
        <v>1025060104.67</v>
      </c>
      <c r="AS24" s="22">
        <v>49544120.130000003</v>
      </c>
      <c r="AT24" s="22">
        <v>78541</v>
      </c>
      <c r="AU24" s="22">
        <v>398952370.94</v>
      </c>
      <c r="AV24" s="22">
        <v>245132520.68000001</v>
      </c>
      <c r="AW24" s="22">
        <v>38992629.310000002</v>
      </c>
      <c r="AX24" s="22">
        <v>3423995.69</v>
      </c>
      <c r="AY24" s="22">
        <v>42416625</v>
      </c>
      <c r="AZ24" s="22">
        <v>746120395.02999997</v>
      </c>
      <c r="BA24" s="22">
        <v>35581224</v>
      </c>
      <c r="BB24" s="22">
        <v>31820143.789999999</v>
      </c>
      <c r="BC24" s="22">
        <v>314923660.51999998</v>
      </c>
      <c r="BD24" s="22">
        <v>357340285.51999998</v>
      </c>
      <c r="BE24" s="22">
        <v>57916944.609999999</v>
      </c>
      <c r="BF24" s="22">
        <v>612811594.51999998</v>
      </c>
      <c r="BG24" s="22">
        <v>492186270.25999999</v>
      </c>
      <c r="BH24" s="22">
        <v>30582675.27</v>
      </c>
      <c r="BI24" s="22">
        <v>1076503992.3900001</v>
      </c>
      <c r="BJ24" s="22">
        <v>69466043.530000001</v>
      </c>
      <c r="BK24" s="22">
        <v>47527448.740000002</v>
      </c>
      <c r="BL24" s="22">
        <v>1193497484.6600001</v>
      </c>
      <c r="BM24" s="22">
        <v>2148489.58</v>
      </c>
      <c r="BN24" s="22">
        <v>10041141.57</v>
      </c>
      <c r="BO24" s="22">
        <v>7222543.25</v>
      </c>
      <c r="BP24" s="22">
        <v>1380174.02</v>
      </c>
      <c r="BQ24" s="22">
        <v>15410750.960000001</v>
      </c>
      <c r="BR24" s="22">
        <v>3413000</v>
      </c>
      <c r="BS24" s="22">
        <v>1968597.46</v>
      </c>
      <c r="BT24" s="22">
        <v>20792348.420000002</v>
      </c>
      <c r="BU24" s="22">
        <v>100000</v>
      </c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19">
        <v>11271677</v>
      </c>
      <c r="CD24" s="45"/>
      <c r="CE24" s="19">
        <v>4811236</v>
      </c>
      <c r="CF24" s="19">
        <v>4091115</v>
      </c>
      <c r="CG24" s="19">
        <v>3927110</v>
      </c>
      <c r="CH24" s="19">
        <v>4850841</v>
      </c>
      <c r="CI24" s="19">
        <v>4631766</v>
      </c>
      <c r="CJ24" s="19">
        <v>4449264</v>
      </c>
      <c r="CK24" s="19">
        <v>4290141</v>
      </c>
      <c r="CL24" s="22">
        <v>929250.9</v>
      </c>
      <c r="CM24" s="22">
        <v>793061.99</v>
      </c>
      <c r="CN24" s="22">
        <v>31877.98</v>
      </c>
      <c r="CO24" s="22">
        <v>2176.17</v>
      </c>
      <c r="CP24" s="22">
        <v>1866.18</v>
      </c>
      <c r="CQ24" s="22">
        <v>119</v>
      </c>
      <c r="CR24" s="22">
        <v>776105.66</v>
      </c>
      <c r="CS24" s="22">
        <v>128518.17</v>
      </c>
      <c r="CT24" s="22">
        <v>90146.78</v>
      </c>
      <c r="CU24" s="22">
        <v>447405.33</v>
      </c>
      <c r="CV24" s="22">
        <v>517387.81</v>
      </c>
      <c r="CW24" s="22">
        <v>513799.33</v>
      </c>
      <c r="CX24" s="22">
        <v>384437.03</v>
      </c>
      <c r="CY24" s="22">
        <v>56033.36</v>
      </c>
      <c r="CZ24" s="22">
        <v>827835.56</v>
      </c>
      <c r="DA24" s="19">
        <v>5829598</v>
      </c>
      <c r="DB24" s="45"/>
      <c r="DC24" s="19">
        <v>2035009</v>
      </c>
      <c r="DD24" s="19">
        <v>1835529</v>
      </c>
      <c r="DE24" s="19">
        <v>2299661</v>
      </c>
      <c r="DF24" s="19">
        <v>2116038</v>
      </c>
      <c r="DG24" s="22">
        <v>304359.99</v>
      </c>
      <c r="DH24" s="22">
        <v>244942.61</v>
      </c>
      <c r="DI24" s="22">
        <v>187.2</v>
      </c>
      <c r="DJ24" s="22">
        <v>0</v>
      </c>
      <c r="DK24" s="22">
        <v>398</v>
      </c>
      <c r="DL24" s="22">
        <v>0</v>
      </c>
      <c r="DM24" s="22">
        <v>247371.28</v>
      </c>
      <c r="DN24" s="22">
        <v>16709.87</v>
      </c>
      <c r="DO24" s="22">
        <v>103598.71</v>
      </c>
      <c r="DP24" s="1"/>
      <c r="DQ24" s="19">
        <v>14807</v>
      </c>
      <c r="DR24" s="19">
        <v>365015</v>
      </c>
      <c r="DS24" s="19">
        <v>33459355</v>
      </c>
      <c r="DT24" s="19">
        <v>92429</v>
      </c>
      <c r="DU24" s="22">
        <v>3349716.81</v>
      </c>
      <c r="DV24" s="19">
        <v>75604197</v>
      </c>
      <c r="DW24" s="19">
        <v>1843745</v>
      </c>
      <c r="DX24" s="19">
        <v>2717668</v>
      </c>
      <c r="DY24" s="19">
        <v>6111</v>
      </c>
      <c r="DZ24" s="19">
        <v>1833633</v>
      </c>
      <c r="EA24" s="19">
        <v>1764866</v>
      </c>
      <c r="EB24" s="19">
        <v>9489</v>
      </c>
      <c r="EC24" s="19">
        <v>235901</v>
      </c>
      <c r="ED24" s="19">
        <v>235432</v>
      </c>
      <c r="EE24" s="19">
        <v>2631</v>
      </c>
      <c r="EF24" s="19">
        <v>152267</v>
      </c>
      <c r="EG24" s="22">
        <v>60519.51</v>
      </c>
      <c r="EH24" s="19">
        <v>437713</v>
      </c>
      <c r="EI24" s="19">
        <v>379338</v>
      </c>
      <c r="EJ24" s="22">
        <v>484526.07</v>
      </c>
      <c r="EK24" s="22">
        <v>1221599.19</v>
      </c>
      <c r="EL24" s="22">
        <v>9200648.5700000003</v>
      </c>
      <c r="EM24" s="22">
        <v>1451928.51</v>
      </c>
      <c r="EN24" s="22">
        <v>460739.67</v>
      </c>
      <c r="EO24" s="22">
        <v>778430.66</v>
      </c>
      <c r="EP24" s="22">
        <v>6987610.4699999997</v>
      </c>
      <c r="EQ24" s="22">
        <v>4047930.81</v>
      </c>
      <c r="ER24" s="22">
        <v>822</v>
      </c>
      <c r="ES24" s="22">
        <v>199364.52</v>
      </c>
      <c r="ET24" s="22">
        <v>939593.24</v>
      </c>
      <c r="EU24" s="22">
        <v>950297.13</v>
      </c>
      <c r="EV24" s="22">
        <v>689380.98</v>
      </c>
      <c r="EW24" s="2"/>
    </row>
    <row r="25" spans="1:153" ht="12" customHeight="1">
      <c r="A25" s="1" t="s">
        <v>337</v>
      </c>
      <c r="B25" s="19">
        <v>184</v>
      </c>
      <c r="C25" s="19">
        <v>184</v>
      </c>
      <c r="D25" s="1" t="s">
        <v>4</v>
      </c>
      <c r="E25" s="19">
        <v>182</v>
      </c>
      <c r="F25" s="19">
        <v>2352</v>
      </c>
      <c r="G25" s="20">
        <v>151</v>
      </c>
      <c r="H25" s="20">
        <v>1</v>
      </c>
      <c r="I25" s="20">
        <v>160</v>
      </c>
      <c r="J25" s="20">
        <v>0</v>
      </c>
      <c r="K25" s="20">
        <v>0</v>
      </c>
      <c r="L25" s="20" t="s">
        <v>4</v>
      </c>
      <c r="M25" s="21" t="s">
        <v>4</v>
      </c>
      <c r="N25" s="19">
        <v>108</v>
      </c>
      <c r="O25" s="1" t="s">
        <v>4</v>
      </c>
      <c r="P25" s="19">
        <v>107</v>
      </c>
      <c r="Q25" s="19">
        <v>38</v>
      </c>
      <c r="R25" s="20">
        <v>81</v>
      </c>
      <c r="S25" s="20">
        <v>0</v>
      </c>
      <c r="T25" s="20">
        <v>2</v>
      </c>
      <c r="U25" s="20">
        <v>71</v>
      </c>
      <c r="V25" s="20">
        <v>1</v>
      </c>
      <c r="W25" s="20" t="s">
        <v>4</v>
      </c>
      <c r="X25" s="21" t="s">
        <v>4</v>
      </c>
      <c r="Y25" s="19">
        <v>8794957</v>
      </c>
      <c r="Z25" s="45"/>
      <c r="AA25" s="19">
        <v>7374520</v>
      </c>
      <c r="AB25" s="45"/>
      <c r="AC25" s="19">
        <v>3169</v>
      </c>
      <c r="AD25" s="22">
        <v>2374900764.9899998</v>
      </c>
      <c r="AE25" s="22">
        <v>2185845608.7199998</v>
      </c>
      <c r="AF25" s="22">
        <v>1590107801.3699999</v>
      </c>
      <c r="AG25" s="22">
        <v>594246589.86000001</v>
      </c>
      <c r="AH25" s="22">
        <v>1491217.49</v>
      </c>
      <c r="AI25" s="22">
        <v>0</v>
      </c>
      <c r="AJ25" s="22">
        <v>189055155.63</v>
      </c>
      <c r="AK25" s="22">
        <v>2264517334.4200001</v>
      </c>
      <c r="AL25" s="22">
        <v>903711805.92999995</v>
      </c>
      <c r="AM25" s="22">
        <v>2125326831.9100001</v>
      </c>
      <c r="AN25" s="22">
        <v>1699333547.26</v>
      </c>
      <c r="AO25" s="22">
        <v>451349143.62</v>
      </c>
      <c r="AP25" s="22">
        <v>115489485.97</v>
      </c>
      <c r="AQ25" s="22">
        <v>216306748.22</v>
      </c>
      <c r="AR25" s="22">
        <v>336792447.31999999</v>
      </c>
      <c r="AS25" s="22">
        <v>89405720.950000003</v>
      </c>
      <c r="AT25" s="22">
        <v>13000</v>
      </c>
      <c r="AU25" s="22">
        <v>253805438.59</v>
      </c>
      <c r="AV25" s="22">
        <v>236171562.53999999</v>
      </c>
      <c r="AW25" s="22">
        <v>94247120.560000002</v>
      </c>
      <c r="AX25" s="22">
        <v>38937776.780000001</v>
      </c>
      <c r="AY25" s="22">
        <v>133184897.34</v>
      </c>
      <c r="AZ25" s="22">
        <v>224768638.16</v>
      </c>
      <c r="BA25" s="22">
        <v>56031488.009999998</v>
      </c>
      <c r="BB25" s="22">
        <v>12008261.140000001</v>
      </c>
      <c r="BC25" s="22">
        <v>54648795.560000002</v>
      </c>
      <c r="BD25" s="22">
        <v>187833692.90000001</v>
      </c>
      <c r="BE25" s="22">
        <v>345374.62</v>
      </c>
      <c r="BF25" s="22">
        <v>433506173.83999997</v>
      </c>
      <c r="BG25" s="22">
        <v>419569208.33999997</v>
      </c>
      <c r="BH25" s="22">
        <v>74725713.230000004</v>
      </c>
      <c r="BI25" s="22">
        <v>480399031.25999999</v>
      </c>
      <c r="BJ25" s="22">
        <v>360242676.97000003</v>
      </c>
      <c r="BK25" s="22">
        <v>87504761.799999997</v>
      </c>
      <c r="BL25" s="22">
        <v>928146470.02999997</v>
      </c>
      <c r="BM25" s="22">
        <v>139440.5</v>
      </c>
      <c r="BN25" s="22">
        <v>6539999.75</v>
      </c>
      <c r="BO25" s="22">
        <v>3229313.04</v>
      </c>
      <c r="BP25" s="22">
        <v>0</v>
      </c>
      <c r="BQ25" s="22">
        <v>3090213.07</v>
      </c>
      <c r="BR25" s="22">
        <v>11000</v>
      </c>
      <c r="BS25" s="22">
        <v>0</v>
      </c>
      <c r="BT25" s="22">
        <v>7311110.7699999996</v>
      </c>
      <c r="BU25" s="22">
        <v>0</v>
      </c>
      <c r="BV25" s="22">
        <v>2016681.72</v>
      </c>
      <c r="BW25" s="22">
        <v>0</v>
      </c>
      <c r="BX25" s="22">
        <v>0</v>
      </c>
      <c r="BY25" s="22">
        <v>2016681.72</v>
      </c>
      <c r="BZ25" s="22">
        <v>0</v>
      </c>
      <c r="CA25" s="22">
        <v>0</v>
      </c>
      <c r="CB25" s="22">
        <v>2016681.72</v>
      </c>
      <c r="CC25" s="19">
        <v>6182693</v>
      </c>
      <c r="CD25" s="45"/>
      <c r="CE25" s="19">
        <v>3057289</v>
      </c>
      <c r="CF25" s="19">
        <v>2349276</v>
      </c>
      <c r="CG25" s="19">
        <v>2277747</v>
      </c>
      <c r="CH25" s="19">
        <v>2633234</v>
      </c>
      <c r="CI25" s="19">
        <v>2561567</v>
      </c>
      <c r="CJ25" s="19">
        <v>2399147</v>
      </c>
      <c r="CK25" s="19">
        <v>2342479</v>
      </c>
      <c r="CL25" s="22">
        <v>555408.34</v>
      </c>
      <c r="CM25" s="22">
        <v>441080.94</v>
      </c>
      <c r="CN25" s="22">
        <v>31105.37</v>
      </c>
      <c r="CO25" s="22">
        <v>3289.19</v>
      </c>
      <c r="CP25" s="22">
        <v>1020</v>
      </c>
      <c r="CQ25" s="22">
        <v>835.76</v>
      </c>
      <c r="CR25" s="22">
        <v>445247.01</v>
      </c>
      <c r="CS25" s="22">
        <v>93387.23</v>
      </c>
      <c r="CT25" s="22">
        <v>318686.78999999998</v>
      </c>
      <c r="CU25" s="22">
        <v>269512.21000000002</v>
      </c>
      <c r="CV25" s="22">
        <v>293471.92</v>
      </c>
      <c r="CW25" s="22">
        <v>373884.41</v>
      </c>
      <c r="CX25" s="22">
        <v>225777.64</v>
      </c>
      <c r="CY25" s="22">
        <v>32292.05</v>
      </c>
      <c r="CZ25" s="22">
        <v>296528.75</v>
      </c>
      <c r="DA25" s="19">
        <v>2601403</v>
      </c>
      <c r="DB25" s="45"/>
      <c r="DC25" s="19">
        <v>1029613</v>
      </c>
      <c r="DD25" s="19">
        <v>912917</v>
      </c>
      <c r="DE25" s="19">
        <v>1112731</v>
      </c>
      <c r="DF25" s="19">
        <v>1020921</v>
      </c>
      <c r="DG25" s="22">
        <v>110106.09</v>
      </c>
      <c r="DH25" s="22">
        <v>95832.65</v>
      </c>
      <c r="DI25" s="22">
        <v>22.38</v>
      </c>
      <c r="DJ25" s="22">
        <v>0</v>
      </c>
      <c r="DK25" s="22">
        <v>0</v>
      </c>
      <c r="DL25" s="22">
        <v>0</v>
      </c>
      <c r="DM25" s="22">
        <v>118894.95</v>
      </c>
      <c r="DN25" s="22">
        <v>6974.86</v>
      </c>
      <c r="DO25" s="22">
        <v>43272.19</v>
      </c>
      <c r="DP25" s="1"/>
      <c r="DQ25" s="19">
        <v>6941</v>
      </c>
      <c r="DR25" s="19">
        <v>536105</v>
      </c>
      <c r="DS25" s="19">
        <v>15202881</v>
      </c>
      <c r="DT25" s="19">
        <v>14610</v>
      </c>
      <c r="DU25" s="22">
        <v>663555.68999999994</v>
      </c>
      <c r="DV25" s="19">
        <v>7604319</v>
      </c>
      <c r="DW25" s="19">
        <v>721548</v>
      </c>
      <c r="DX25" s="19">
        <v>878358</v>
      </c>
      <c r="DY25" s="19">
        <v>6144</v>
      </c>
      <c r="DZ25" s="19">
        <v>2023687</v>
      </c>
      <c r="EA25" s="19">
        <v>1824837</v>
      </c>
      <c r="EB25" s="19">
        <v>645779</v>
      </c>
      <c r="EC25" s="19">
        <v>105464</v>
      </c>
      <c r="ED25" s="19">
        <v>86725</v>
      </c>
      <c r="EE25" s="19">
        <v>4488</v>
      </c>
      <c r="EF25" s="19">
        <v>6595</v>
      </c>
      <c r="EG25" s="22">
        <v>11302.5</v>
      </c>
      <c r="EH25" s="19">
        <v>258090</v>
      </c>
      <c r="EI25" s="19">
        <v>237301</v>
      </c>
      <c r="EJ25" s="22">
        <v>2007170.96</v>
      </c>
      <c r="EK25" s="22">
        <v>5570152.2999999998</v>
      </c>
      <c r="EL25" s="22">
        <v>11957715.630000001</v>
      </c>
      <c r="EM25" s="22">
        <v>1899346.2</v>
      </c>
      <c r="EN25" s="22">
        <v>1327493.3999999999</v>
      </c>
      <c r="EO25" s="22">
        <v>1699603.86</v>
      </c>
      <c r="EP25" s="22">
        <v>8361883.5700000003</v>
      </c>
      <c r="EQ25" s="22">
        <v>13632709.220000001</v>
      </c>
      <c r="ER25" s="22">
        <v>227.82</v>
      </c>
      <c r="ES25" s="22">
        <v>1388210.9</v>
      </c>
      <c r="ET25" s="22">
        <v>2610220.87</v>
      </c>
      <c r="EU25" s="22">
        <v>1247098.52</v>
      </c>
      <c r="EV25" s="22">
        <v>1307744</v>
      </c>
      <c r="EW25" s="2"/>
    </row>
    <row r="26" spans="1:153" ht="12" customHeight="1">
      <c r="A26" s="1" t="s">
        <v>338</v>
      </c>
      <c r="B26" s="19">
        <v>196</v>
      </c>
      <c r="C26" s="19">
        <v>196</v>
      </c>
      <c r="D26" s="1" t="s">
        <v>4</v>
      </c>
      <c r="E26" s="19">
        <v>196</v>
      </c>
      <c r="F26" s="19">
        <v>1359</v>
      </c>
      <c r="G26" s="20">
        <v>35</v>
      </c>
      <c r="H26" s="20">
        <v>103</v>
      </c>
      <c r="I26" s="20">
        <v>4</v>
      </c>
      <c r="J26" s="20"/>
      <c r="K26" s="20"/>
      <c r="L26" s="20" t="s">
        <v>4</v>
      </c>
      <c r="M26" s="21" t="s">
        <v>4</v>
      </c>
      <c r="N26" s="19">
        <v>23</v>
      </c>
      <c r="O26" s="1" t="s">
        <v>4</v>
      </c>
      <c r="P26" s="19">
        <v>23</v>
      </c>
      <c r="Q26" s="19">
        <v>12</v>
      </c>
      <c r="R26" s="20">
        <v>7</v>
      </c>
      <c r="S26" s="20">
        <v>1</v>
      </c>
      <c r="T26" s="20">
        <v>1</v>
      </c>
      <c r="U26" s="20">
        <v>22</v>
      </c>
      <c r="V26" s="20">
        <v>65</v>
      </c>
      <c r="W26" s="20" t="s">
        <v>4</v>
      </c>
      <c r="X26" s="21" t="s">
        <v>4</v>
      </c>
      <c r="Y26" s="19">
        <v>6454423</v>
      </c>
      <c r="Z26" s="45"/>
      <c r="AA26" s="19">
        <v>2837724</v>
      </c>
      <c r="AB26" s="45"/>
      <c r="AC26" s="19">
        <v>3718</v>
      </c>
      <c r="AD26" s="22">
        <v>895398037.36000001</v>
      </c>
      <c r="AE26" s="22">
        <v>852357788.59000003</v>
      </c>
      <c r="AF26" s="22">
        <v>651521803.52999997</v>
      </c>
      <c r="AG26" s="22">
        <v>200833880.06</v>
      </c>
      <c r="AH26" s="22">
        <v>2105</v>
      </c>
      <c r="AI26" s="22">
        <v>0</v>
      </c>
      <c r="AJ26" s="22">
        <v>43040248.770000003</v>
      </c>
      <c r="AK26" s="22">
        <v>595500174.70000005</v>
      </c>
      <c r="AL26" s="22">
        <v>2051216278.5899999</v>
      </c>
      <c r="AM26" s="22">
        <v>1110009883.4300001</v>
      </c>
      <c r="AN26" s="22">
        <v>838452389.29999995</v>
      </c>
      <c r="AO26" s="22">
        <v>342320546.47000003</v>
      </c>
      <c r="AP26" s="22">
        <v>29972194.890000001</v>
      </c>
      <c r="AQ26" s="22">
        <v>180121952.41999999</v>
      </c>
      <c r="AR26" s="22">
        <v>227584626.47</v>
      </c>
      <c r="AS26" s="22">
        <v>5000</v>
      </c>
      <c r="AT26" s="22">
        <v>33900</v>
      </c>
      <c r="AU26" s="22">
        <v>12520770.84</v>
      </c>
      <c r="AV26" s="22">
        <v>45893397.710000001</v>
      </c>
      <c r="AW26" s="22">
        <v>152968744.49000001</v>
      </c>
      <c r="AX26" s="22">
        <v>813472.01</v>
      </c>
      <c r="AY26" s="22">
        <v>153782216.5</v>
      </c>
      <c r="AZ26" s="22">
        <v>61138410.399999999</v>
      </c>
      <c r="BA26" s="22">
        <v>45002474.729999997</v>
      </c>
      <c r="BB26" s="22">
        <v>11634392.5</v>
      </c>
      <c r="BC26" s="22">
        <v>1662635.46</v>
      </c>
      <c r="BD26" s="22">
        <v>155444851.96000001</v>
      </c>
      <c r="BE26" s="22">
        <v>68103.48</v>
      </c>
      <c r="BF26" s="22">
        <v>81460948.930000007</v>
      </c>
      <c r="BG26" s="22">
        <v>49242120.009999998</v>
      </c>
      <c r="BH26" s="22">
        <v>14391146.16</v>
      </c>
      <c r="BI26" s="22">
        <v>48470846.07</v>
      </c>
      <c r="BJ26" s="22">
        <v>96687422.510000005</v>
      </c>
      <c r="BK26" s="22">
        <v>4050</v>
      </c>
      <c r="BL26" s="22">
        <v>145162318.58000001</v>
      </c>
      <c r="BM26" s="22">
        <v>451600</v>
      </c>
      <c r="BN26" s="22">
        <v>15390571.83</v>
      </c>
      <c r="BO26" s="22">
        <v>510000</v>
      </c>
      <c r="BP26" s="22">
        <v>493272.81</v>
      </c>
      <c r="BQ26" s="22">
        <v>14290614.41</v>
      </c>
      <c r="BR26" s="22">
        <v>1469284.23</v>
      </c>
      <c r="BS26" s="22">
        <v>1085546</v>
      </c>
      <c r="BT26" s="22">
        <v>16845444.640000001</v>
      </c>
      <c r="BU26" s="22">
        <v>70000</v>
      </c>
      <c r="BV26" s="22">
        <v>422000</v>
      </c>
      <c r="BW26" s="22">
        <v>6000</v>
      </c>
      <c r="BX26" s="22">
        <v>5000</v>
      </c>
      <c r="BY26" s="22">
        <v>164000</v>
      </c>
      <c r="BZ26" s="22">
        <v>63000</v>
      </c>
      <c r="CA26" s="22">
        <v>0</v>
      </c>
      <c r="CB26" s="22">
        <v>253000</v>
      </c>
      <c r="CC26" s="19">
        <v>3836991</v>
      </c>
      <c r="CD26" s="45"/>
      <c r="CE26" s="19">
        <v>1492662</v>
      </c>
      <c r="CF26" s="19">
        <v>1138721</v>
      </c>
      <c r="CG26" s="19">
        <v>385428</v>
      </c>
      <c r="CH26" s="19">
        <v>1303583</v>
      </c>
      <c r="CI26" s="19">
        <v>514994</v>
      </c>
      <c r="CJ26" s="19">
        <v>1067522</v>
      </c>
      <c r="CK26" s="19">
        <v>475464</v>
      </c>
      <c r="CL26" s="22">
        <v>558562.01</v>
      </c>
      <c r="CM26" s="22">
        <v>157933.99</v>
      </c>
      <c r="CN26" s="22">
        <v>43767.1</v>
      </c>
      <c r="CO26" s="22">
        <v>10345</v>
      </c>
      <c r="CP26" s="22">
        <v>1626</v>
      </c>
      <c r="CQ26" s="22">
        <v>14974.34</v>
      </c>
      <c r="CR26" s="22">
        <v>199644.13</v>
      </c>
      <c r="CS26" s="22">
        <v>274010.96000000002</v>
      </c>
      <c r="CT26" s="22">
        <v>15510.05</v>
      </c>
      <c r="CU26" s="22">
        <v>68042.240000000005</v>
      </c>
      <c r="CV26" s="22">
        <v>225844.17</v>
      </c>
      <c r="CW26" s="22">
        <v>190934.35</v>
      </c>
      <c r="CX26" s="22">
        <v>55843.94</v>
      </c>
      <c r="CY26" s="22">
        <v>15351.48</v>
      </c>
      <c r="CZ26" s="22">
        <v>366212.7</v>
      </c>
      <c r="DA26" s="19">
        <v>857439</v>
      </c>
      <c r="DB26" s="45"/>
      <c r="DC26" s="19">
        <v>204483</v>
      </c>
      <c r="DD26" s="19">
        <v>191837</v>
      </c>
      <c r="DE26" s="19">
        <v>293624</v>
      </c>
      <c r="DF26" s="19">
        <v>261911</v>
      </c>
      <c r="DG26" s="22">
        <v>57199.14</v>
      </c>
      <c r="DH26" s="22">
        <v>23027.09</v>
      </c>
      <c r="DI26" s="22">
        <v>4</v>
      </c>
      <c r="DJ26" s="22">
        <v>0</v>
      </c>
      <c r="DK26" s="22">
        <v>0</v>
      </c>
      <c r="DL26" s="22">
        <v>0</v>
      </c>
      <c r="DM26" s="22">
        <v>42902.81</v>
      </c>
      <c r="DN26" s="22">
        <v>2759.3</v>
      </c>
      <c r="DO26" s="22">
        <v>6010.68</v>
      </c>
      <c r="DP26" s="1"/>
      <c r="DQ26" s="19">
        <v>2747</v>
      </c>
      <c r="DR26" s="19">
        <v>130462</v>
      </c>
      <c r="DS26" s="19">
        <v>1327422</v>
      </c>
      <c r="DT26" s="19">
        <v>11365</v>
      </c>
      <c r="DU26" s="22">
        <v>257542</v>
      </c>
      <c r="DV26" s="19">
        <v>4281652</v>
      </c>
      <c r="DW26" s="19">
        <v>92931</v>
      </c>
      <c r="DX26" s="19">
        <v>104873</v>
      </c>
      <c r="DY26" s="19">
        <v>39186</v>
      </c>
      <c r="DZ26" s="19">
        <v>94382</v>
      </c>
      <c r="EA26" s="19">
        <v>98280</v>
      </c>
      <c r="EB26" s="19">
        <v>45206</v>
      </c>
      <c r="EC26" s="19">
        <v>78670</v>
      </c>
      <c r="ED26" s="19">
        <v>84087</v>
      </c>
      <c r="EE26" s="19">
        <v>41130</v>
      </c>
      <c r="EF26" s="19">
        <v>7539</v>
      </c>
      <c r="EG26" s="22">
        <v>4993.78</v>
      </c>
      <c r="EH26" s="19">
        <v>326249</v>
      </c>
      <c r="EI26" s="19">
        <v>282946</v>
      </c>
      <c r="EJ26" s="22">
        <v>13191069.220000001</v>
      </c>
      <c r="EK26" s="22">
        <v>1832945.47</v>
      </c>
      <c r="EL26" s="22">
        <v>3785380.87</v>
      </c>
      <c r="EM26" s="22">
        <v>596646.40000000002</v>
      </c>
      <c r="EN26" s="22">
        <v>-129656.5</v>
      </c>
      <c r="EO26" s="22">
        <v>2244450.1800000002</v>
      </c>
      <c r="EP26" s="22">
        <v>944284.29</v>
      </c>
      <c r="EQ26" s="22">
        <v>679642.39</v>
      </c>
      <c r="ER26" s="22">
        <v>0</v>
      </c>
      <c r="ES26" s="22">
        <v>42462.71</v>
      </c>
      <c r="ET26" s="22">
        <v>1532172.57</v>
      </c>
      <c r="EU26" s="22">
        <v>-85596.95</v>
      </c>
      <c r="EV26" s="22">
        <v>86522.26</v>
      </c>
      <c r="EW26" s="2"/>
    </row>
    <row r="27" spans="1:153" ht="12" customHeight="1">
      <c r="A27" s="1" t="s">
        <v>339</v>
      </c>
      <c r="B27" s="19">
        <v>214</v>
      </c>
      <c r="C27" s="19">
        <v>214</v>
      </c>
      <c r="D27" s="1" t="s">
        <v>4</v>
      </c>
      <c r="E27" s="19">
        <v>214</v>
      </c>
      <c r="F27" s="19">
        <v>96</v>
      </c>
      <c r="G27" s="20">
        <v>137</v>
      </c>
      <c r="H27" s="20">
        <v>57</v>
      </c>
      <c r="I27" s="20">
        <v>7</v>
      </c>
      <c r="J27" s="20"/>
      <c r="K27" s="20"/>
      <c r="L27" s="20" t="s">
        <v>4</v>
      </c>
      <c r="M27" s="21" t="s">
        <v>4</v>
      </c>
      <c r="N27" s="19">
        <v>82</v>
      </c>
      <c r="O27" s="1" t="s">
        <v>4</v>
      </c>
      <c r="P27" s="19">
        <v>81</v>
      </c>
      <c r="Q27" s="19">
        <v>12</v>
      </c>
      <c r="R27" s="20">
        <v>20</v>
      </c>
      <c r="S27" s="20">
        <v>4</v>
      </c>
      <c r="T27" s="20">
        <v>1</v>
      </c>
      <c r="U27" s="20">
        <v>117</v>
      </c>
      <c r="V27" s="20">
        <v>53</v>
      </c>
      <c r="W27" s="20" t="s">
        <v>4</v>
      </c>
      <c r="X27" s="21" t="s">
        <v>4</v>
      </c>
      <c r="Y27" s="19">
        <v>3859960</v>
      </c>
      <c r="Z27" s="45"/>
      <c r="AA27" s="19">
        <v>2694226</v>
      </c>
      <c r="AB27" s="45"/>
      <c r="AC27" s="19">
        <v>2939</v>
      </c>
      <c r="AD27" s="22">
        <v>1176624148.98</v>
      </c>
      <c r="AE27" s="22">
        <v>1102799718.5699999</v>
      </c>
      <c r="AF27" s="22">
        <v>791636773.45000005</v>
      </c>
      <c r="AG27" s="22">
        <v>311148445.12</v>
      </c>
      <c r="AH27" s="22">
        <v>4300</v>
      </c>
      <c r="AI27" s="22">
        <v>10200</v>
      </c>
      <c r="AJ27" s="22">
        <v>73824430.409999996</v>
      </c>
      <c r="AK27" s="22">
        <v>1107428649.1900001</v>
      </c>
      <c r="AL27" s="22">
        <v>8810973717.6700001</v>
      </c>
      <c r="AM27" s="22">
        <v>1125148046.29</v>
      </c>
      <c r="AN27" s="22">
        <v>983104517.38</v>
      </c>
      <c r="AO27" s="22">
        <v>488224123.06</v>
      </c>
      <c r="AP27" s="22">
        <v>43936367.68</v>
      </c>
      <c r="AQ27" s="22">
        <v>123078555.14</v>
      </c>
      <c r="AR27" s="22">
        <v>124831781.15000001</v>
      </c>
      <c r="AS27" s="22">
        <v>34000</v>
      </c>
      <c r="AT27" s="22">
        <v>30200</v>
      </c>
      <c r="AU27" s="22">
        <v>108191760.34</v>
      </c>
      <c r="AV27" s="22">
        <v>94777730.010000005</v>
      </c>
      <c r="AW27" s="22">
        <v>13201.47</v>
      </c>
      <c r="AX27" s="22">
        <v>2000</v>
      </c>
      <c r="AY27" s="22">
        <v>15201.47</v>
      </c>
      <c r="AZ27" s="22">
        <v>131648907.81</v>
      </c>
      <c r="BA27" s="22">
        <v>7808187.1500000004</v>
      </c>
      <c r="BB27" s="22">
        <v>2571232.48</v>
      </c>
      <c r="BC27" s="22">
        <v>41114528.350000001</v>
      </c>
      <c r="BD27" s="22">
        <v>41129729.82</v>
      </c>
      <c r="BE27" s="22">
        <v>0</v>
      </c>
      <c r="BF27" s="22">
        <v>79321365.019999996</v>
      </c>
      <c r="BG27" s="22">
        <v>33114977.57</v>
      </c>
      <c r="BH27" s="22">
        <v>7389294.3099999996</v>
      </c>
      <c r="BI27" s="22">
        <v>111462423.98999999</v>
      </c>
      <c r="BJ27" s="22">
        <v>6674447.3600000003</v>
      </c>
      <c r="BK27" s="22">
        <v>1688765.55</v>
      </c>
      <c r="BL27" s="22">
        <v>119825636.90000001</v>
      </c>
      <c r="BM27" s="22">
        <v>1129493.3500000001</v>
      </c>
      <c r="BN27" s="22">
        <v>3445708.02</v>
      </c>
      <c r="BO27" s="22">
        <v>3314886.55</v>
      </c>
      <c r="BP27" s="22">
        <v>1575760.1</v>
      </c>
      <c r="BQ27" s="22">
        <v>4702895.67</v>
      </c>
      <c r="BR27" s="22">
        <v>1603493</v>
      </c>
      <c r="BS27" s="22">
        <v>3159459.35</v>
      </c>
      <c r="BT27" s="22">
        <v>9465848.0199999996</v>
      </c>
      <c r="BU27" s="22">
        <v>0</v>
      </c>
      <c r="BV27" s="22">
        <v>90000</v>
      </c>
      <c r="BW27" s="22">
        <v>0</v>
      </c>
      <c r="BX27" s="22">
        <v>0</v>
      </c>
      <c r="BY27" s="22">
        <v>309050</v>
      </c>
      <c r="BZ27" s="22">
        <v>0</v>
      </c>
      <c r="CA27" s="22">
        <v>0</v>
      </c>
      <c r="CB27" s="22">
        <v>309050</v>
      </c>
      <c r="CC27" s="19">
        <v>2971873</v>
      </c>
      <c r="CD27" s="45"/>
      <c r="CE27" s="19">
        <v>1174637</v>
      </c>
      <c r="CF27" s="19">
        <v>907699</v>
      </c>
      <c r="CG27" s="19">
        <v>865615</v>
      </c>
      <c r="CH27" s="19">
        <v>1047960</v>
      </c>
      <c r="CI27" s="19">
        <v>999955</v>
      </c>
      <c r="CJ27" s="19">
        <v>989260</v>
      </c>
      <c r="CK27" s="19">
        <v>948574</v>
      </c>
      <c r="CL27" s="22">
        <v>204510.39</v>
      </c>
      <c r="CM27" s="22">
        <v>116217.67</v>
      </c>
      <c r="CN27" s="22">
        <v>9510.36</v>
      </c>
      <c r="CO27" s="22">
        <v>2114</v>
      </c>
      <c r="CP27" s="22">
        <v>0</v>
      </c>
      <c r="CQ27" s="22">
        <v>5917</v>
      </c>
      <c r="CR27" s="22">
        <v>191892.27</v>
      </c>
      <c r="CS27" s="22">
        <v>8663.9599999999991</v>
      </c>
      <c r="CT27" s="22">
        <v>7</v>
      </c>
      <c r="CU27" s="22">
        <v>98133.36</v>
      </c>
      <c r="CV27" s="22">
        <v>124165.66</v>
      </c>
      <c r="CW27" s="22">
        <v>155401.79</v>
      </c>
      <c r="CX27" s="22">
        <v>89125.17</v>
      </c>
      <c r="CY27" s="22">
        <v>14346.03</v>
      </c>
      <c r="CZ27" s="22">
        <v>222848.63</v>
      </c>
      <c r="DA27" s="19">
        <v>1544938</v>
      </c>
      <c r="DB27" s="45"/>
      <c r="DC27" s="19">
        <v>453674</v>
      </c>
      <c r="DD27" s="19">
        <v>363415</v>
      </c>
      <c r="DE27" s="19">
        <v>433340</v>
      </c>
      <c r="DF27" s="19">
        <v>403097</v>
      </c>
      <c r="DG27" s="22">
        <v>64028.03</v>
      </c>
      <c r="DH27" s="22">
        <v>50930.86</v>
      </c>
      <c r="DI27" s="22">
        <v>0.6</v>
      </c>
      <c r="DJ27" s="22">
        <v>0</v>
      </c>
      <c r="DK27" s="22">
        <v>122</v>
      </c>
      <c r="DL27" s="22">
        <v>0</v>
      </c>
      <c r="DM27" s="22">
        <v>55588.800000000003</v>
      </c>
      <c r="DN27" s="22">
        <v>3881.99</v>
      </c>
      <c r="DO27" s="22">
        <v>13175.02</v>
      </c>
      <c r="DP27" s="1"/>
      <c r="DQ27" s="19">
        <v>1717</v>
      </c>
      <c r="DR27" s="19">
        <v>334114</v>
      </c>
      <c r="DS27" s="19">
        <v>44102</v>
      </c>
      <c r="DT27" s="19">
        <v>481</v>
      </c>
      <c r="DU27" s="22">
        <v>226076.24</v>
      </c>
      <c r="DV27" s="19">
        <v>42369</v>
      </c>
      <c r="DW27" s="19">
        <v>914574</v>
      </c>
      <c r="DX27" s="19">
        <v>466371</v>
      </c>
      <c r="DY27" s="19">
        <v>6368</v>
      </c>
      <c r="DZ27" s="19">
        <v>913617</v>
      </c>
      <c r="EA27" s="19">
        <v>210468</v>
      </c>
      <c r="EB27" s="19">
        <v>16461</v>
      </c>
      <c r="EC27" s="19">
        <v>909648</v>
      </c>
      <c r="ED27" s="19">
        <v>42142</v>
      </c>
      <c r="EE27" s="19">
        <v>2905</v>
      </c>
      <c r="EF27" s="19">
        <v>14119</v>
      </c>
      <c r="EG27" s="22">
        <v>34168.410000000003</v>
      </c>
      <c r="EH27" s="19">
        <v>48263</v>
      </c>
      <c r="EI27" s="19">
        <v>39346</v>
      </c>
      <c r="EJ27" s="22">
        <v>512018.3</v>
      </c>
      <c r="EK27" s="22">
        <v>557929</v>
      </c>
      <c r="EL27" s="22">
        <v>6316414</v>
      </c>
      <c r="EM27" s="22">
        <v>614102</v>
      </c>
      <c r="EN27" s="22">
        <v>77975</v>
      </c>
      <c r="EO27" s="22">
        <v>265920</v>
      </c>
      <c r="EP27" s="22">
        <v>5421297</v>
      </c>
      <c r="EQ27" s="22">
        <v>1136616</v>
      </c>
      <c r="ER27" s="22">
        <v>0</v>
      </c>
      <c r="ES27" s="22">
        <v>90147</v>
      </c>
      <c r="ET27" s="22">
        <v>5720327</v>
      </c>
      <c r="EU27" s="22">
        <v>108681</v>
      </c>
      <c r="EV27" s="22">
        <v>118991</v>
      </c>
      <c r="EW27" s="2"/>
    </row>
    <row r="28" spans="1:153" ht="12" customHeight="1">
      <c r="A28" s="1" t="s">
        <v>340</v>
      </c>
      <c r="B28" s="19">
        <v>181</v>
      </c>
      <c r="C28" s="19">
        <v>181</v>
      </c>
      <c r="D28" s="1" t="s">
        <v>4</v>
      </c>
      <c r="E28" s="19">
        <v>181</v>
      </c>
      <c r="F28" s="19">
        <v>183</v>
      </c>
      <c r="G28" s="20">
        <v>160</v>
      </c>
      <c r="H28" s="20">
        <v>1</v>
      </c>
      <c r="I28" s="20">
        <v>12</v>
      </c>
      <c r="J28" s="20"/>
      <c r="K28" s="20"/>
      <c r="L28" s="20" t="s">
        <v>4</v>
      </c>
      <c r="M28" s="21" t="s">
        <v>4</v>
      </c>
      <c r="N28" s="19">
        <v>97</v>
      </c>
      <c r="O28" s="1" t="s">
        <v>4</v>
      </c>
      <c r="P28" s="19">
        <v>96</v>
      </c>
      <c r="Q28" s="19">
        <v>96</v>
      </c>
      <c r="R28" s="20">
        <v>33</v>
      </c>
      <c r="S28" s="20">
        <v>1</v>
      </c>
      <c r="T28" s="20">
        <v>4</v>
      </c>
      <c r="U28" s="20">
        <v>127</v>
      </c>
      <c r="V28" s="20"/>
      <c r="W28" s="20" t="s">
        <v>4</v>
      </c>
      <c r="X28" s="21" t="s">
        <v>4</v>
      </c>
      <c r="Y28" s="19">
        <v>8962886</v>
      </c>
      <c r="Z28" s="45"/>
      <c r="AA28" s="19">
        <v>7127955</v>
      </c>
      <c r="AB28" s="45"/>
      <c r="AC28" s="19">
        <v>3562</v>
      </c>
      <c r="AD28" s="22">
        <v>2182372884.5700002</v>
      </c>
      <c r="AE28" s="22">
        <v>2159811643.1399999</v>
      </c>
      <c r="AF28" s="22">
        <v>1637682790.8299999</v>
      </c>
      <c r="AG28" s="22">
        <v>522054752.31</v>
      </c>
      <c r="AH28" s="22">
        <v>0</v>
      </c>
      <c r="AI28" s="22">
        <v>74100</v>
      </c>
      <c r="AJ28" s="22">
        <v>22561241.43</v>
      </c>
      <c r="AK28" s="22">
        <v>1956590838.05</v>
      </c>
      <c r="AL28" s="22">
        <v>1665352319.71</v>
      </c>
      <c r="AM28" s="22">
        <v>2169711279.0100002</v>
      </c>
      <c r="AN28" s="22">
        <v>1873236926.97</v>
      </c>
      <c r="AO28" s="22">
        <v>469855223.77999997</v>
      </c>
      <c r="AP28" s="22">
        <v>143900576</v>
      </c>
      <c r="AQ28" s="22">
        <v>344922692.64999998</v>
      </c>
      <c r="AR28" s="22">
        <v>679956642.95000005</v>
      </c>
      <c r="AS28" s="22">
        <v>0</v>
      </c>
      <c r="AT28" s="22">
        <v>36500</v>
      </c>
      <c r="AU28" s="22">
        <v>92967341.790000007</v>
      </c>
      <c r="AV28" s="22">
        <v>141597949.80000001</v>
      </c>
      <c r="AW28" s="22">
        <v>65228794.340000004</v>
      </c>
      <c r="AX28" s="22">
        <v>38500</v>
      </c>
      <c r="AY28" s="22">
        <v>65267294.340000004</v>
      </c>
      <c r="AZ28" s="22">
        <v>202210037.80000001</v>
      </c>
      <c r="BA28" s="22">
        <v>18833962.510000002</v>
      </c>
      <c r="BB28" s="22">
        <v>10163057.390000001</v>
      </c>
      <c r="BC28" s="22">
        <v>86527183.290000007</v>
      </c>
      <c r="BD28" s="22">
        <v>151794477.63</v>
      </c>
      <c r="BE28" s="22">
        <v>32708667.890000001</v>
      </c>
      <c r="BF28" s="22">
        <v>588594322.89999998</v>
      </c>
      <c r="BG28" s="22">
        <v>478303440.22000003</v>
      </c>
      <c r="BH28" s="22">
        <v>9949521.8100000005</v>
      </c>
      <c r="BI28" s="22">
        <v>32970998.140000001</v>
      </c>
      <c r="BJ28" s="22">
        <v>619023904.19000006</v>
      </c>
      <c r="BK28" s="22">
        <v>457561050.49000001</v>
      </c>
      <c r="BL28" s="22">
        <v>1109555952.8199999</v>
      </c>
      <c r="BM28" s="22">
        <v>818705.65</v>
      </c>
      <c r="BN28" s="22">
        <v>5081781.5199999996</v>
      </c>
      <c r="BO28" s="22">
        <v>7156344.7699999996</v>
      </c>
      <c r="BP28" s="22">
        <v>696532.08</v>
      </c>
      <c r="BQ28" s="22">
        <v>12296996.5</v>
      </c>
      <c r="BR28" s="22">
        <v>1356746.04</v>
      </c>
      <c r="BS28" s="22">
        <v>99621.48</v>
      </c>
      <c r="BT28" s="22">
        <v>13753364.02</v>
      </c>
      <c r="BU28" s="22">
        <v>0</v>
      </c>
      <c r="BV28" s="22">
        <v>31774781.23</v>
      </c>
      <c r="BW28" s="22">
        <v>0</v>
      </c>
      <c r="BX28" s="22">
        <v>0</v>
      </c>
      <c r="BY28" s="22">
        <v>31774781.23</v>
      </c>
      <c r="BZ28" s="22">
        <v>0</v>
      </c>
      <c r="CA28" s="22">
        <v>0</v>
      </c>
      <c r="CB28" s="22">
        <v>31774781.23</v>
      </c>
      <c r="CC28" s="19">
        <v>7766224</v>
      </c>
      <c r="CD28" s="45"/>
      <c r="CE28" s="19">
        <v>2541935</v>
      </c>
      <c r="CF28" s="19">
        <v>2122490</v>
      </c>
      <c r="CG28" s="19">
        <v>1839130</v>
      </c>
      <c r="CH28" s="19">
        <v>2524419</v>
      </c>
      <c r="CI28" s="19">
        <v>2214180</v>
      </c>
      <c r="CJ28" s="19">
        <v>2388153</v>
      </c>
      <c r="CK28" s="19">
        <v>2095809</v>
      </c>
      <c r="CL28" s="22">
        <v>721035.11</v>
      </c>
      <c r="CM28" s="22">
        <v>643819.19999999995</v>
      </c>
      <c r="CN28" s="22">
        <v>97814.59</v>
      </c>
      <c r="CO28" s="22">
        <v>1000</v>
      </c>
      <c r="CP28" s="22">
        <v>0</v>
      </c>
      <c r="CQ28" s="22">
        <v>0</v>
      </c>
      <c r="CR28" s="22">
        <v>651908.46</v>
      </c>
      <c r="CS28" s="22">
        <v>68045.56</v>
      </c>
      <c r="CT28" s="22">
        <v>4383.95</v>
      </c>
      <c r="CU28" s="22">
        <v>291587.11</v>
      </c>
      <c r="CV28" s="22">
        <v>321641.44</v>
      </c>
      <c r="CW28" s="22">
        <v>347742.9</v>
      </c>
      <c r="CX28" s="22">
        <v>164367.31</v>
      </c>
      <c r="CY28" s="22">
        <v>23634.97</v>
      </c>
      <c r="CZ28" s="22">
        <v>598682.72</v>
      </c>
      <c r="DA28" s="19">
        <v>3064908</v>
      </c>
      <c r="DB28" s="45"/>
      <c r="DC28" s="19">
        <v>1030445</v>
      </c>
      <c r="DD28" s="19">
        <v>715883</v>
      </c>
      <c r="DE28" s="19">
        <v>899905</v>
      </c>
      <c r="DF28" s="19">
        <v>759056</v>
      </c>
      <c r="DG28" s="22">
        <v>145752.82</v>
      </c>
      <c r="DH28" s="22">
        <v>99413.65</v>
      </c>
      <c r="DI28" s="22">
        <v>80</v>
      </c>
      <c r="DJ28" s="22">
        <v>0</v>
      </c>
      <c r="DK28" s="22">
        <v>40.08</v>
      </c>
      <c r="DL28" s="22">
        <v>0</v>
      </c>
      <c r="DM28" s="22">
        <v>105560.02</v>
      </c>
      <c r="DN28" s="22">
        <v>9843.15</v>
      </c>
      <c r="DO28" s="22">
        <v>35895.81</v>
      </c>
      <c r="DP28" s="1"/>
      <c r="DQ28" s="19">
        <v>6505</v>
      </c>
      <c r="DR28" s="19">
        <v>262270</v>
      </c>
      <c r="DS28" s="19">
        <v>46010090</v>
      </c>
      <c r="DT28" s="19">
        <v>237274</v>
      </c>
      <c r="DU28" s="22">
        <v>18454912</v>
      </c>
      <c r="DV28" s="19">
        <v>149189679</v>
      </c>
      <c r="DW28" s="19">
        <v>151690</v>
      </c>
      <c r="DX28" s="19">
        <v>150380</v>
      </c>
      <c r="DY28" s="19">
        <v>901</v>
      </c>
      <c r="DZ28" s="19">
        <v>105970</v>
      </c>
      <c r="EA28" s="19">
        <v>104421</v>
      </c>
      <c r="EB28" s="19">
        <v>8172</v>
      </c>
      <c r="EC28" s="19">
        <v>88032</v>
      </c>
      <c r="ED28" s="19">
        <v>86483</v>
      </c>
      <c r="EE28" s="19">
        <v>1574</v>
      </c>
      <c r="EF28" s="19">
        <v>41253</v>
      </c>
      <c r="EG28" s="22">
        <v>136784.25</v>
      </c>
      <c r="EH28" s="19">
        <v>40917</v>
      </c>
      <c r="EI28" s="19">
        <v>35436</v>
      </c>
      <c r="EJ28" s="22">
        <v>190419.25</v>
      </c>
      <c r="EK28" s="22">
        <v>1033255</v>
      </c>
      <c r="EL28" s="22">
        <v>10745539</v>
      </c>
      <c r="EM28" s="22">
        <v>2635575</v>
      </c>
      <c r="EN28" s="22">
        <v>69656</v>
      </c>
      <c r="EO28" s="22">
        <v>471431</v>
      </c>
      <c r="EP28" s="22">
        <v>7638533</v>
      </c>
      <c r="EQ28" s="22">
        <v>2164047</v>
      </c>
      <c r="ER28" s="22">
        <v>0</v>
      </c>
      <c r="ES28" s="22">
        <v>147502</v>
      </c>
      <c r="ET28" s="22">
        <v>611173</v>
      </c>
      <c r="EU28" s="22">
        <v>163142</v>
      </c>
      <c r="EV28" s="22">
        <v>240988</v>
      </c>
      <c r="EW28" s="2"/>
    </row>
    <row r="29" spans="1:153" ht="12" customHeight="1">
      <c r="A29" s="1" t="s">
        <v>341</v>
      </c>
      <c r="B29" s="19">
        <v>200</v>
      </c>
      <c r="C29" s="19">
        <v>200</v>
      </c>
      <c r="D29" s="1" t="s">
        <v>4</v>
      </c>
      <c r="E29" s="19">
        <v>199</v>
      </c>
      <c r="F29" s="19">
        <v>1349</v>
      </c>
      <c r="G29" s="20">
        <v>99</v>
      </c>
      <c r="H29" s="20">
        <v>44</v>
      </c>
      <c r="I29" s="20">
        <v>12</v>
      </c>
      <c r="J29" s="20"/>
      <c r="K29" s="20"/>
      <c r="L29" s="20" t="s">
        <v>4</v>
      </c>
      <c r="M29" s="21" t="s">
        <v>4</v>
      </c>
      <c r="N29" s="19">
        <v>37</v>
      </c>
      <c r="O29" s="1" t="s">
        <v>4</v>
      </c>
      <c r="P29" s="19">
        <v>36</v>
      </c>
      <c r="Q29" s="19">
        <v>2</v>
      </c>
      <c r="R29" s="20">
        <v>16</v>
      </c>
      <c r="S29" s="20">
        <v>4</v>
      </c>
      <c r="T29" s="20">
        <v>1</v>
      </c>
      <c r="U29" s="20">
        <v>1</v>
      </c>
      <c r="V29" s="20">
        <v>0</v>
      </c>
      <c r="W29" s="20" t="s">
        <v>4</v>
      </c>
      <c r="X29" s="21" t="s">
        <v>4</v>
      </c>
      <c r="Y29" s="19">
        <v>3155906</v>
      </c>
      <c r="Z29" s="45"/>
      <c r="AA29" s="19">
        <v>1748782</v>
      </c>
      <c r="AB29" s="45"/>
      <c r="AC29" s="19">
        <v>2095</v>
      </c>
      <c r="AD29" s="22">
        <v>759445526.03999996</v>
      </c>
      <c r="AE29" s="22">
        <v>713413550.89999998</v>
      </c>
      <c r="AF29" s="22">
        <v>601633499.96000004</v>
      </c>
      <c r="AG29" s="22">
        <v>111537274</v>
      </c>
      <c r="AH29" s="22">
        <v>242776.94</v>
      </c>
      <c r="AI29" s="22">
        <v>0</v>
      </c>
      <c r="AJ29" s="22">
        <v>46031975.140000001</v>
      </c>
      <c r="AK29" s="22">
        <v>710330246.53999996</v>
      </c>
      <c r="AL29" s="22">
        <v>627288242.57000005</v>
      </c>
      <c r="AM29" s="22">
        <v>801561763.15999997</v>
      </c>
      <c r="AN29" s="22">
        <v>470271619.36000001</v>
      </c>
      <c r="AO29" s="22">
        <v>179510677.99000001</v>
      </c>
      <c r="AP29" s="22">
        <v>17525935.550000001</v>
      </c>
      <c r="AQ29" s="22">
        <v>116440351.29000001</v>
      </c>
      <c r="AR29" s="22">
        <v>116604962.16</v>
      </c>
      <c r="AS29" s="22">
        <v>17201</v>
      </c>
      <c r="AT29" s="22">
        <v>10000</v>
      </c>
      <c r="AU29" s="22">
        <v>14815188.18</v>
      </c>
      <c r="AV29" s="22">
        <v>25347303.190000001</v>
      </c>
      <c r="AW29" s="22">
        <v>100170612.79000001</v>
      </c>
      <c r="AX29" s="22">
        <v>614.51</v>
      </c>
      <c r="AY29" s="22">
        <v>100171227.3</v>
      </c>
      <c r="AZ29" s="22">
        <v>55635914</v>
      </c>
      <c r="BA29" s="22">
        <v>21185865.239999998</v>
      </c>
      <c r="BB29" s="22">
        <v>154297137.25999999</v>
      </c>
      <c r="BC29" s="22">
        <v>71964029.560000002</v>
      </c>
      <c r="BD29" s="22">
        <v>172135256.86000001</v>
      </c>
      <c r="BE29" s="22">
        <v>5197956.1100000003</v>
      </c>
      <c r="BF29" s="22">
        <v>57473394.009999998</v>
      </c>
      <c r="BG29" s="22">
        <v>31957411.23</v>
      </c>
      <c r="BH29" s="22">
        <v>40581428.130000003</v>
      </c>
      <c r="BI29" s="22">
        <v>27335950.920000002</v>
      </c>
      <c r="BJ29" s="22">
        <v>107874238.56</v>
      </c>
      <c r="BK29" s="22">
        <v>0</v>
      </c>
      <c r="BL29" s="22">
        <v>135210189.47999999</v>
      </c>
      <c r="BM29" s="22">
        <v>147650</v>
      </c>
      <c r="BN29" s="22">
        <v>11155845.08</v>
      </c>
      <c r="BO29" s="22">
        <v>148500</v>
      </c>
      <c r="BP29" s="22">
        <v>14800</v>
      </c>
      <c r="BQ29" s="22">
        <v>6013569.6299999999</v>
      </c>
      <c r="BR29" s="22">
        <v>11000</v>
      </c>
      <c r="BS29" s="22">
        <v>5442225.4500000002</v>
      </c>
      <c r="BT29" s="22">
        <v>11466795.08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19">
        <v>2298625</v>
      </c>
      <c r="CD29" s="45"/>
      <c r="CE29" s="19">
        <v>1101348</v>
      </c>
      <c r="CF29" s="19">
        <v>856025</v>
      </c>
      <c r="CG29" s="19">
        <v>767186</v>
      </c>
      <c r="CH29" s="19">
        <v>932261</v>
      </c>
      <c r="CI29" s="19">
        <v>842705</v>
      </c>
      <c r="CJ29" s="19">
        <v>814982</v>
      </c>
      <c r="CK29" s="19">
        <v>775997</v>
      </c>
      <c r="CL29" s="22">
        <v>271297.99</v>
      </c>
      <c r="CM29" s="22">
        <v>148376.9</v>
      </c>
      <c r="CN29" s="22">
        <v>38698.160000000003</v>
      </c>
      <c r="CO29" s="22">
        <v>1987.5</v>
      </c>
      <c r="CP29" s="22">
        <v>38.5</v>
      </c>
      <c r="CQ29" s="22">
        <v>116</v>
      </c>
      <c r="CR29" s="22">
        <v>159707.06</v>
      </c>
      <c r="CS29" s="22">
        <v>102782.48</v>
      </c>
      <c r="CT29" s="22">
        <v>101692.17</v>
      </c>
      <c r="CU29" s="22">
        <v>95616.27</v>
      </c>
      <c r="CV29" s="22">
        <v>123156.92</v>
      </c>
      <c r="CW29" s="22">
        <v>130086.78</v>
      </c>
      <c r="CX29" s="22">
        <v>87253.440000000002</v>
      </c>
      <c r="CY29" s="22">
        <v>11231.15</v>
      </c>
      <c r="CZ29" s="22">
        <v>170674.53</v>
      </c>
      <c r="DA29" s="19">
        <v>611132</v>
      </c>
      <c r="DB29" s="45"/>
      <c r="DC29" s="19">
        <v>159917</v>
      </c>
      <c r="DD29" s="19">
        <v>145030</v>
      </c>
      <c r="DE29" s="19">
        <v>176509</v>
      </c>
      <c r="DF29" s="19">
        <v>159058</v>
      </c>
      <c r="DG29" s="22">
        <v>22260.65</v>
      </c>
      <c r="DH29" s="22">
        <v>20095.439999999999</v>
      </c>
      <c r="DI29" s="22">
        <v>50</v>
      </c>
      <c r="DJ29" s="22">
        <v>0</v>
      </c>
      <c r="DK29" s="22">
        <v>0.78</v>
      </c>
      <c r="DL29" s="22">
        <v>0.78</v>
      </c>
      <c r="DM29" s="22">
        <v>22356.51</v>
      </c>
      <c r="DN29" s="22">
        <v>2552.6999999999998</v>
      </c>
      <c r="DO29" s="22">
        <v>16601.259999999998</v>
      </c>
      <c r="DP29" s="1"/>
      <c r="DQ29" s="19">
        <v>1046</v>
      </c>
      <c r="DR29" s="19">
        <v>10179</v>
      </c>
      <c r="DS29" s="19">
        <v>528179</v>
      </c>
      <c r="DT29" s="19">
        <v>913</v>
      </c>
      <c r="DU29" s="22">
        <v>10498</v>
      </c>
      <c r="DV29" s="19">
        <v>533500</v>
      </c>
      <c r="DW29" s="19">
        <v>45245</v>
      </c>
      <c r="DX29" s="19">
        <v>54336</v>
      </c>
      <c r="DY29" s="19">
        <v>1008</v>
      </c>
      <c r="DZ29" s="19">
        <v>45384</v>
      </c>
      <c r="EA29" s="19">
        <v>58782</v>
      </c>
      <c r="EB29" s="19">
        <v>1439</v>
      </c>
      <c r="EC29" s="19">
        <v>27287</v>
      </c>
      <c r="ED29" s="19">
        <v>22887</v>
      </c>
      <c r="EE29" s="19">
        <v>960</v>
      </c>
      <c r="EF29" s="19">
        <v>3918</v>
      </c>
      <c r="EG29" s="22">
        <v>1826.5</v>
      </c>
      <c r="EH29" s="19">
        <v>894788</v>
      </c>
      <c r="EI29" s="19">
        <v>632468</v>
      </c>
      <c r="EJ29" s="22">
        <v>65207643.920000002</v>
      </c>
      <c r="EK29" s="22">
        <v>780585.26</v>
      </c>
      <c r="EL29" s="22">
        <v>2364291.34</v>
      </c>
      <c r="EM29" s="22">
        <v>770887.4</v>
      </c>
      <c r="EN29" s="22">
        <v>-87036.18</v>
      </c>
      <c r="EO29" s="22">
        <v>2592193.0299999998</v>
      </c>
      <c r="EP29" s="22">
        <v>-872031.77</v>
      </c>
      <c r="EQ29" s="22">
        <v>783832.72</v>
      </c>
      <c r="ER29" s="22">
        <v>0</v>
      </c>
      <c r="ES29" s="22">
        <v>47408.79</v>
      </c>
      <c r="ET29" s="22">
        <v>134857.54</v>
      </c>
      <c r="EU29" s="22">
        <v>-35336.17</v>
      </c>
      <c r="EV29" s="22">
        <v>99108.800000000003</v>
      </c>
      <c r="EW29" s="2"/>
    </row>
    <row r="30" spans="1:153" ht="12" customHeight="1">
      <c r="A30" s="1" t="s">
        <v>342</v>
      </c>
      <c r="B30" s="19">
        <v>164</v>
      </c>
      <c r="C30" s="19">
        <v>164</v>
      </c>
      <c r="D30" s="1" t="s">
        <v>4</v>
      </c>
      <c r="E30" s="19">
        <v>163</v>
      </c>
      <c r="F30" s="19">
        <v>245</v>
      </c>
      <c r="G30" s="20">
        <v>48</v>
      </c>
      <c r="H30" s="20">
        <v>54</v>
      </c>
      <c r="I30" s="20">
        <v>54</v>
      </c>
      <c r="J30" s="20"/>
      <c r="K30" s="20"/>
      <c r="L30" s="20" t="s">
        <v>4</v>
      </c>
      <c r="M30" s="21" t="s">
        <v>4</v>
      </c>
      <c r="N30" s="19">
        <v>74</v>
      </c>
      <c r="O30" s="1" t="s">
        <v>4</v>
      </c>
      <c r="P30" s="19">
        <v>72</v>
      </c>
      <c r="Q30" s="19">
        <v>6</v>
      </c>
      <c r="R30" s="20">
        <v>20</v>
      </c>
      <c r="S30" s="20">
        <v>18</v>
      </c>
      <c r="T30" s="20">
        <v>7</v>
      </c>
      <c r="U30" s="20">
        <v>28</v>
      </c>
      <c r="V30" s="20">
        <v>36</v>
      </c>
      <c r="W30" s="20" t="s">
        <v>4</v>
      </c>
      <c r="X30" s="21" t="s">
        <v>4</v>
      </c>
      <c r="Y30" s="19">
        <v>3251110</v>
      </c>
      <c r="Z30" s="45"/>
      <c r="AA30" s="19">
        <v>2458423</v>
      </c>
      <c r="AB30" s="45"/>
      <c r="AC30" s="19">
        <v>2444</v>
      </c>
      <c r="AD30" s="22">
        <v>898844519.48000002</v>
      </c>
      <c r="AE30" s="22">
        <v>881880705.30999994</v>
      </c>
      <c r="AF30" s="22">
        <v>721404805.65999997</v>
      </c>
      <c r="AG30" s="22">
        <v>158927877.63</v>
      </c>
      <c r="AH30" s="22">
        <v>1477022.02</v>
      </c>
      <c r="AI30" s="22">
        <v>71000</v>
      </c>
      <c r="AJ30" s="22">
        <v>16963814.170000002</v>
      </c>
      <c r="AK30" s="22">
        <v>862330550.15999997</v>
      </c>
      <c r="AL30" s="22">
        <v>212300203.06</v>
      </c>
      <c r="AM30" s="22">
        <v>910085565.76999998</v>
      </c>
      <c r="AN30" s="22">
        <v>746761727.62</v>
      </c>
      <c r="AO30" s="22">
        <v>304367544.20999998</v>
      </c>
      <c r="AP30" s="22">
        <v>11800567.1</v>
      </c>
      <c r="AQ30" s="22">
        <v>133297764</v>
      </c>
      <c r="AR30" s="22">
        <v>143949996.36000001</v>
      </c>
      <c r="AS30" s="22">
        <v>0</v>
      </c>
      <c r="AT30" s="22">
        <v>535754.52</v>
      </c>
      <c r="AU30" s="22">
        <v>103861138.88</v>
      </c>
      <c r="AV30" s="22">
        <v>48948962.549999997</v>
      </c>
      <c r="AW30" s="22">
        <v>6991019.4800000004</v>
      </c>
      <c r="AX30" s="22">
        <v>0</v>
      </c>
      <c r="AY30" s="22">
        <v>6991019.4800000004</v>
      </c>
      <c r="AZ30" s="22">
        <v>124329913.88</v>
      </c>
      <c r="BA30" s="22">
        <v>12175167.57</v>
      </c>
      <c r="BB30" s="22">
        <v>19827737.219999999</v>
      </c>
      <c r="BC30" s="22">
        <v>923371.34</v>
      </c>
      <c r="BD30" s="22">
        <v>7914390.8200000003</v>
      </c>
      <c r="BE30" s="22">
        <v>8267632.1100000003</v>
      </c>
      <c r="BF30" s="22">
        <v>30249894.629999999</v>
      </c>
      <c r="BG30" s="22">
        <v>62215594.700000003</v>
      </c>
      <c r="BH30" s="22">
        <v>10989883.83</v>
      </c>
      <c r="BI30" s="22">
        <v>77428525.280000001</v>
      </c>
      <c r="BJ30" s="22">
        <v>0</v>
      </c>
      <c r="BK30" s="22">
        <v>34294479.990000002</v>
      </c>
      <c r="BL30" s="22">
        <v>111723005.27</v>
      </c>
      <c r="BM30" s="22">
        <v>170375</v>
      </c>
      <c r="BN30" s="22">
        <v>355159.78</v>
      </c>
      <c r="BO30" s="22">
        <v>585048.19999999995</v>
      </c>
      <c r="BP30" s="22">
        <v>241905.09</v>
      </c>
      <c r="BQ30" s="22">
        <v>1155088.07</v>
      </c>
      <c r="BR30" s="22">
        <v>77000</v>
      </c>
      <c r="BS30" s="22">
        <v>120400</v>
      </c>
      <c r="BT30" s="22">
        <v>1352488.07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19">
        <v>2590846</v>
      </c>
      <c r="CD30" s="45"/>
      <c r="CE30" s="19">
        <v>1083739</v>
      </c>
      <c r="CF30" s="19">
        <v>855878</v>
      </c>
      <c r="CG30" s="19">
        <v>791801</v>
      </c>
      <c r="CH30" s="19">
        <v>958278</v>
      </c>
      <c r="CI30" s="19">
        <v>890409</v>
      </c>
      <c r="CJ30" s="19">
        <v>900719</v>
      </c>
      <c r="CK30" s="19">
        <v>839360</v>
      </c>
      <c r="CL30" s="22">
        <v>247386.26</v>
      </c>
      <c r="CM30" s="22">
        <v>185991.73</v>
      </c>
      <c r="CN30" s="22">
        <v>1345.43</v>
      </c>
      <c r="CO30" s="22">
        <v>970.84</v>
      </c>
      <c r="CP30" s="22">
        <v>0</v>
      </c>
      <c r="CQ30" s="22">
        <v>2037.95</v>
      </c>
      <c r="CR30" s="22">
        <v>92440.99</v>
      </c>
      <c r="CS30" s="22">
        <v>149859.87</v>
      </c>
      <c r="CT30" s="22">
        <v>970.84</v>
      </c>
      <c r="CU30" s="22">
        <v>95854.55</v>
      </c>
      <c r="CV30" s="22">
        <v>125323.34</v>
      </c>
      <c r="CW30" s="22">
        <v>149003.78</v>
      </c>
      <c r="CX30" s="22">
        <v>85459.35</v>
      </c>
      <c r="CY30" s="22">
        <v>13091.75</v>
      </c>
      <c r="CZ30" s="22">
        <v>177224.48</v>
      </c>
      <c r="DA30" s="19">
        <v>980205</v>
      </c>
      <c r="DB30" s="45"/>
      <c r="DC30" s="19">
        <v>275587</v>
      </c>
      <c r="DD30" s="19">
        <v>253197</v>
      </c>
      <c r="DE30" s="19">
        <v>295017</v>
      </c>
      <c r="DF30" s="19">
        <v>266660</v>
      </c>
      <c r="DG30" s="22">
        <v>44516.98</v>
      </c>
      <c r="DH30" s="22">
        <v>36375.760000000002</v>
      </c>
      <c r="DI30" s="22">
        <v>118</v>
      </c>
      <c r="DJ30" s="22">
        <v>7.5</v>
      </c>
      <c r="DK30" s="22">
        <v>0</v>
      </c>
      <c r="DL30" s="22">
        <v>0</v>
      </c>
      <c r="DM30" s="22">
        <v>47016.36</v>
      </c>
      <c r="DN30" s="22">
        <v>2329.81</v>
      </c>
      <c r="DO30" s="22">
        <v>10868.31</v>
      </c>
      <c r="DP30" s="1"/>
      <c r="DQ30" s="19">
        <v>1619</v>
      </c>
      <c r="DR30" s="19">
        <v>39469</v>
      </c>
      <c r="DS30" s="19">
        <v>8992991</v>
      </c>
      <c r="DT30" s="19">
        <v>9205</v>
      </c>
      <c r="DU30" s="22">
        <v>192064</v>
      </c>
      <c r="DV30" s="19">
        <v>30952172</v>
      </c>
      <c r="DW30" s="19">
        <v>434749</v>
      </c>
      <c r="DX30" s="19">
        <v>94813</v>
      </c>
      <c r="DY30" s="19">
        <v>1577</v>
      </c>
      <c r="DZ30" s="19">
        <v>434604</v>
      </c>
      <c r="EA30" s="19">
        <v>92795</v>
      </c>
      <c r="EB30" s="19">
        <v>51713</v>
      </c>
      <c r="EC30" s="19">
        <v>59287</v>
      </c>
      <c r="ED30" s="19">
        <v>32440</v>
      </c>
      <c r="EE30" s="19">
        <v>686</v>
      </c>
      <c r="EF30" s="19">
        <v>11430</v>
      </c>
      <c r="EG30" s="22">
        <v>7147</v>
      </c>
      <c r="EH30" s="19">
        <v>53640</v>
      </c>
      <c r="EI30" s="19">
        <v>52199</v>
      </c>
      <c r="EJ30" s="22">
        <v>55171</v>
      </c>
      <c r="EK30" s="22">
        <v>292165</v>
      </c>
      <c r="EL30" s="22">
        <v>3704380</v>
      </c>
      <c r="EM30" s="22">
        <v>1000268</v>
      </c>
      <c r="EN30" s="22">
        <v>12164</v>
      </c>
      <c r="EO30" s="22">
        <v>127161</v>
      </c>
      <c r="EP30" s="22">
        <v>2576951</v>
      </c>
      <c r="EQ30" s="22">
        <v>839962</v>
      </c>
      <c r="ER30" s="22">
        <v>0</v>
      </c>
      <c r="ES30" s="22">
        <v>-8249</v>
      </c>
      <c r="ET30" s="22">
        <v>3412215</v>
      </c>
      <c r="EU30" s="22">
        <v>141675</v>
      </c>
      <c r="EV30" s="22">
        <v>121262</v>
      </c>
      <c r="EW30" s="2"/>
    </row>
    <row r="31" spans="1:153" ht="12" customHeight="1">
      <c r="A31" s="1" t="s">
        <v>343</v>
      </c>
      <c r="B31" s="19">
        <v>75</v>
      </c>
      <c r="C31" s="19">
        <v>75</v>
      </c>
      <c r="D31" s="1" t="s">
        <v>4</v>
      </c>
      <c r="E31" s="19">
        <v>75</v>
      </c>
      <c r="F31" s="19">
        <v>734</v>
      </c>
      <c r="G31" s="20">
        <v>70</v>
      </c>
      <c r="H31" s="20">
        <v>2</v>
      </c>
      <c r="I31" s="20"/>
      <c r="J31" s="20"/>
      <c r="K31" s="20"/>
      <c r="L31" s="20" t="s">
        <v>4</v>
      </c>
      <c r="M31" s="21" t="s">
        <v>4</v>
      </c>
      <c r="N31" s="19">
        <v>29</v>
      </c>
      <c r="O31" s="1" t="s">
        <v>4</v>
      </c>
      <c r="P31" s="19">
        <v>27</v>
      </c>
      <c r="Q31" s="19">
        <v>27</v>
      </c>
      <c r="R31" s="20">
        <v>11</v>
      </c>
      <c r="S31" s="20">
        <v>2</v>
      </c>
      <c r="T31" s="20"/>
      <c r="U31" s="20"/>
      <c r="V31" s="20"/>
      <c r="W31" s="20" t="s">
        <v>4</v>
      </c>
      <c r="X31" s="21" t="s">
        <v>4</v>
      </c>
      <c r="Y31" s="19">
        <v>2210004</v>
      </c>
      <c r="Z31" s="45"/>
      <c r="AA31" s="19">
        <v>1538152</v>
      </c>
      <c r="AB31" s="45"/>
      <c r="AC31" s="19">
        <v>1777</v>
      </c>
      <c r="AD31" s="22">
        <v>816081482.92999995</v>
      </c>
      <c r="AE31" s="22">
        <v>744759152.38</v>
      </c>
      <c r="AF31" s="22">
        <v>606401191.82000005</v>
      </c>
      <c r="AG31" s="22">
        <v>138187860.36000001</v>
      </c>
      <c r="AH31" s="22">
        <v>0</v>
      </c>
      <c r="AI31" s="22">
        <v>170100.2</v>
      </c>
      <c r="AJ31" s="22">
        <v>71322329.549999997</v>
      </c>
      <c r="AK31" s="22">
        <v>797306324.99000001</v>
      </c>
      <c r="AL31" s="22">
        <v>733394972.99000001</v>
      </c>
      <c r="AM31" s="22">
        <v>834417985.54999995</v>
      </c>
      <c r="AN31" s="22">
        <v>725667085.29999995</v>
      </c>
      <c r="AO31" s="22">
        <v>288928242.44</v>
      </c>
      <c r="AP31" s="22">
        <v>40690770.049999997</v>
      </c>
      <c r="AQ31" s="22">
        <v>113749204.34999999</v>
      </c>
      <c r="AR31" s="22">
        <v>140021572.77000001</v>
      </c>
      <c r="AS31" s="22">
        <v>1761481.17</v>
      </c>
      <c r="AT31" s="22">
        <v>1000</v>
      </c>
      <c r="AU31" s="22">
        <v>107042106.93000001</v>
      </c>
      <c r="AV31" s="22">
        <v>33472707.59</v>
      </c>
      <c r="AW31" s="22">
        <v>7056123.5899999999</v>
      </c>
      <c r="AX31" s="22">
        <v>16800</v>
      </c>
      <c r="AY31" s="22">
        <v>7072923.5899999999</v>
      </c>
      <c r="AZ31" s="22">
        <v>61255056.030000001</v>
      </c>
      <c r="BA31" s="22">
        <v>29610</v>
      </c>
      <c r="BB31" s="22">
        <v>40393310.630000003</v>
      </c>
      <c r="BC31" s="22">
        <v>6681233.5899999999</v>
      </c>
      <c r="BD31" s="22">
        <v>13754157.18</v>
      </c>
      <c r="BE31" s="22">
        <v>0</v>
      </c>
      <c r="BF31" s="22">
        <v>62593942.380000003</v>
      </c>
      <c r="BG31" s="22">
        <v>79184105.780000001</v>
      </c>
      <c r="BH31" s="22">
        <v>2273987.5299999998</v>
      </c>
      <c r="BI31" s="22">
        <v>127804996.95999999</v>
      </c>
      <c r="BJ31" s="22">
        <v>0</v>
      </c>
      <c r="BK31" s="22">
        <v>16247038.73</v>
      </c>
      <c r="BL31" s="22">
        <v>144052035.69</v>
      </c>
      <c r="BM31" s="22">
        <v>48000</v>
      </c>
      <c r="BN31" s="22">
        <v>2470000</v>
      </c>
      <c r="BO31" s="22">
        <v>30850</v>
      </c>
      <c r="BP31" s="22">
        <v>282500</v>
      </c>
      <c r="BQ31" s="22">
        <v>1930500</v>
      </c>
      <c r="BR31" s="22">
        <v>850</v>
      </c>
      <c r="BS31" s="22">
        <v>250000</v>
      </c>
      <c r="BT31" s="22">
        <v>2181350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19">
        <v>2024733</v>
      </c>
      <c r="CD31" s="45"/>
      <c r="CE31" s="19">
        <v>806468</v>
      </c>
      <c r="CF31" s="19">
        <v>665869</v>
      </c>
      <c r="CG31" s="19">
        <v>654067</v>
      </c>
      <c r="CH31" s="19">
        <v>718095</v>
      </c>
      <c r="CI31" s="19">
        <v>690961</v>
      </c>
      <c r="CJ31" s="19">
        <v>670146</v>
      </c>
      <c r="CK31" s="19">
        <v>659625</v>
      </c>
      <c r="CL31" s="22">
        <v>202303.13</v>
      </c>
      <c r="CM31" s="22">
        <v>95834.78</v>
      </c>
      <c r="CN31" s="22">
        <v>9198.99</v>
      </c>
      <c r="CO31" s="22">
        <v>177.42</v>
      </c>
      <c r="CP31" s="22">
        <v>0</v>
      </c>
      <c r="CQ31" s="22">
        <v>0</v>
      </c>
      <c r="CR31" s="22">
        <v>159967.96</v>
      </c>
      <c r="CS31" s="22">
        <v>16618</v>
      </c>
      <c r="CT31" s="22">
        <v>150041.32</v>
      </c>
      <c r="CU31" s="22">
        <v>73952.039999999994</v>
      </c>
      <c r="CV31" s="22">
        <v>81958.64</v>
      </c>
      <c r="CW31" s="22">
        <v>100875.7</v>
      </c>
      <c r="CX31" s="22">
        <v>67105.83</v>
      </c>
      <c r="CY31" s="22">
        <v>9376.44</v>
      </c>
      <c r="CZ31" s="22">
        <v>235862.43</v>
      </c>
      <c r="DA31" s="19">
        <v>767057</v>
      </c>
      <c r="DB31" s="45"/>
      <c r="DC31" s="19">
        <v>228202</v>
      </c>
      <c r="DD31" s="19">
        <v>214518</v>
      </c>
      <c r="DE31" s="19">
        <v>335048</v>
      </c>
      <c r="DF31" s="19">
        <v>225290</v>
      </c>
      <c r="DG31" s="22">
        <v>36517.29</v>
      </c>
      <c r="DH31" s="22">
        <v>30904.720000000001</v>
      </c>
      <c r="DI31" s="22">
        <v>160</v>
      </c>
      <c r="DJ31" s="22">
        <v>0</v>
      </c>
      <c r="DK31" s="22">
        <v>2050</v>
      </c>
      <c r="DL31" s="22">
        <v>900</v>
      </c>
      <c r="DM31" s="22">
        <v>29766.85</v>
      </c>
      <c r="DN31" s="22">
        <v>1190.1300000000001</v>
      </c>
      <c r="DO31" s="22">
        <v>6974.22</v>
      </c>
      <c r="DP31" s="1"/>
      <c r="DQ31" s="19">
        <v>23</v>
      </c>
      <c r="DR31" s="19">
        <v>156</v>
      </c>
      <c r="DS31" s="19">
        <v>57891</v>
      </c>
      <c r="DT31" s="19">
        <v>380</v>
      </c>
      <c r="DU31" s="22">
        <v>6640</v>
      </c>
      <c r="DV31" s="19">
        <v>217442</v>
      </c>
      <c r="DW31" s="19">
        <v>34855</v>
      </c>
      <c r="DX31" s="19">
        <v>39630</v>
      </c>
      <c r="DY31" s="19">
        <v>3433</v>
      </c>
      <c r="DZ31" s="19">
        <v>34655</v>
      </c>
      <c r="EA31" s="19">
        <v>50195</v>
      </c>
      <c r="EB31" s="19">
        <v>9849</v>
      </c>
      <c r="EC31" s="19">
        <v>19753</v>
      </c>
      <c r="ED31" s="19">
        <v>28426</v>
      </c>
      <c r="EE31" s="19">
        <v>1565</v>
      </c>
      <c r="EF31" s="19">
        <v>662</v>
      </c>
      <c r="EG31" s="22">
        <v>1669</v>
      </c>
      <c r="EH31" s="19">
        <v>15523</v>
      </c>
      <c r="EI31" s="19">
        <v>15187</v>
      </c>
      <c r="EJ31" s="22">
        <v>3775</v>
      </c>
      <c r="EK31" s="22">
        <v>204929.15</v>
      </c>
      <c r="EL31" s="22">
        <v>2237751.71</v>
      </c>
      <c r="EM31" s="22">
        <v>256805.23</v>
      </c>
      <c r="EN31" s="22">
        <v>44903.01</v>
      </c>
      <c r="EO31" s="22">
        <v>115720.1</v>
      </c>
      <c r="EP31" s="22">
        <v>1865226.38</v>
      </c>
      <c r="EQ31" s="22">
        <v>799248.16</v>
      </c>
      <c r="ER31" s="22">
        <v>0</v>
      </c>
      <c r="ES31" s="22">
        <v>56146.94</v>
      </c>
      <c r="ET31" s="22">
        <v>12167.69</v>
      </c>
      <c r="EU31" s="22">
        <v>89662.18</v>
      </c>
      <c r="EV31" s="22">
        <v>100906.11</v>
      </c>
      <c r="EW31" s="2"/>
    </row>
    <row r="32" spans="1:153" ht="12" customHeight="1">
      <c r="A32" s="23" t="s">
        <v>333</v>
      </c>
      <c r="B32" s="24">
        <v>1724</v>
      </c>
      <c r="C32" s="24">
        <v>1724</v>
      </c>
      <c r="D32" s="18" t="s">
        <v>4</v>
      </c>
      <c r="E32" s="24">
        <v>1719</v>
      </c>
      <c r="F32" s="25">
        <f>SUM(F23:F31)</f>
        <v>9850</v>
      </c>
      <c r="G32" s="24">
        <v>1094</v>
      </c>
      <c r="H32" s="24">
        <v>352</v>
      </c>
      <c r="I32" s="24">
        <v>263</v>
      </c>
      <c r="J32" s="24">
        <v>0</v>
      </c>
      <c r="K32" s="24">
        <v>0</v>
      </c>
      <c r="L32" s="24" t="s">
        <v>4</v>
      </c>
      <c r="M32" s="26" t="s">
        <v>4</v>
      </c>
      <c r="N32" s="24">
        <v>683</v>
      </c>
      <c r="O32" s="18" t="s">
        <v>4</v>
      </c>
      <c r="P32" s="24">
        <v>666</v>
      </c>
      <c r="Q32" s="25">
        <f>SUM(Q23:Q31)</f>
        <v>528</v>
      </c>
      <c r="R32" s="24">
        <v>305</v>
      </c>
      <c r="S32" s="24">
        <v>49</v>
      </c>
      <c r="T32" s="24">
        <v>24</v>
      </c>
      <c r="U32" s="24">
        <v>634</v>
      </c>
      <c r="V32" s="24">
        <v>197</v>
      </c>
      <c r="W32" s="24" t="s">
        <v>4</v>
      </c>
      <c r="X32" s="26" t="s">
        <v>4</v>
      </c>
      <c r="Y32" s="24">
        <v>53786184</v>
      </c>
      <c r="Z32" s="45"/>
      <c r="AA32" s="24">
        <v>38566526</v>
      </c>
      <c r="AB32" s="45"/>
      <c r="AC32" s="25">
        <f t="shared" ref="AC32:BH32" si="4">SUM(AC23:AC31)</f>
        <v>29649</v>
      </c>
      <c r="AD32" s="25">
        <f t="shared" si="4"/>
        <v>14552286631.259998</v>
      </c>
      <c r="AE32" s="25">
        <f t="shared" si="4"/>
        <v>13871321584.569998</v>
      </c>
      <c r="AF32" s="25">
        <f t="shared" si="4"/>
        <v>10329144971.019999</v>
      </c>
      <c r="AG32" s="25">
        <f t="shared" si="4"/>
        <v>3288351717.0100002</v>
      </c>
      <c r="AH32" s="25">
        <f t="shared" si="4"/>
        <v>234873779.25000003</v>
      </c>
      <c r="AI32" s="25">
        <f t="shared" si="4"/>
        <v>18951117.289999999</v>
      </c>
      <c r="AJ32" s="25">
        <f t="shared" si="4"/>
        <v>680965045.04999983</v>
      </c>
      <c r="AK32" s="25">
        <f t="shared" si="4"/>
        <v>13366253087.309999</v>
      </c>
      <c r="AL32" s="25">
        <f t="shared" si="4"/>
        <v>17157174223.079998</v>
      </c>
      <c r="AM32" s="25">
        <f t="shared" si="4"/>
        <v>14653725004.949999</v>
      </c>
      <c r="AN32" s="25">
        <f t="shared" si="4"/>
        <v>11722624473.84</v>
      </c>
      <c r="AO32" s="25">
        <f t="shared" si="4"/>
        <v>3774957860.0999999</v>
      </c>
      <c r="AP32" s="25">
        <f t="shared" si="4"/>
        <v>624742318.60000002</v>
      </c>
      <c r="AQ32" s="25">
        <f t="shared" si="4"/>
        <v>1810020832.5799999</v>
      </c>
      <c r="AR32" s="25">
        <f t="shared" si="4"/>
        <v>3000054069.1599998</v>
      </c>
      <c r="AS32" s="25">
        <f t="shared" si="4"/>
        <v>351191050.60000002</v>
      </c>
      <c r="AT32" s="25">
        <f t="shared" si="4"/>
        <v>758896.52</v>
      </c>
      <c r="AU32" s="25">
        <f t="shared" si="4"/>
        <v>1156242002.25</v>
      </c>
      <c r="AV32" s="25">
        <f t="shared" si="4"/>
        <v>1004657443.2800001</v>
      </c>
      <c r="AW32" s="25">
        <f t="shared" si="4"/>
        <v>515127508.97000003</v>
      </c>
      <c r="AX32" s="25">
        <f t="shared" si="4"/>
        <v>64290056.009999998</v>
      </c>
      <c r="AY32" s="25">
        <f t="shared" si="4"/>
        <v>579417564.98000002</v>
      </c>
      <c r="AZ32" s="25">
        <f t="shared" si="4"/>
        <v>1767250252.6400001</v>
      </c>
      <c r="BA32" s="25">
        <f t="shared" si="4"/>
        <v>181170524.53</v>
      </c>
      <c r="BB32" s="25">
        <f t="shared" si="4"/>
        <v>403262188.96000004</v>
      </c>
      <c r="BC32" s="25">
        <f t="shared" si="4"/>
        <v>2378620562.1500001</v>
      </c>
      <c r="BD32" s="25">
        <f t="shared" si="4"/>
        <v>2958038127.1300006</v>
      </c>
      <c r="BE32" s="25">
        <f t="shared" si="4"/>
        <v>104504678.81999999</v>
      </c>
      <c r="BF32" s="25">
        <f t="shared" si="4"/>
        <v>2048406889.8100002</v>
      </c>
      <c r="BG32" s="25">
        <f t="shared" si="4"/>
        <v>1710005421.4200001</v>
      </c>
      <c r="BH32" s="25">
        <f t="shared" si="4"/>
        <v>243194413.95000002</v>
      </c>
      <c r="BI32" s="25">
        <f t="shared" ref="BI32:CN32" si="5">SUM(BI23:BI31)</f>
        <v>2201315075.5799999</v>
      </c>
      <c r="BJ32" s="25">
        <f t="shared" si="5"/>
        <v>1259968733.1199999</v>
      </c>
      <c r="BK32" s="25">
        <f t="shared" si="5"/>
        <v>644827595.30000007</v>
      </c>
      <c r="BL32" s="25">
        <f t="shared" si="5"/>
        <v>4106111404.0000005</v>
      </c>
      <c r="BM32" s="25">
        <f t="shared" si="5"/>
        <v>5063754.08</v>
      </c>
      <c r="BN32" s="25">
        <f t="shared" si="5"/>
        <v>59786777.790000007</v>
      </c>
      <c r="BO32" s="25">
        <f t="shared" si="5"/>
        <v>22581204.949999999</v>
      </c>
      <c r="BP32" s="25">
        <f t="shared" si="5"/>
        <v>5107394.0999999996</v>
      </c>
      <c r="BQ32" s="25">
        <f t="shared" si="5"/>
        <v>59838599.99000001</v>
      </c>
      <c r="BR32" s="25">
        <f t="shared" si="5"/>
        <v>13114640.969999999</v>
      </c>
      <c r="BS32" s="25">
        <f t="shared" si="5"/>
        <v>12128349.740000002</v>
      </c>
      <c r="BT32" s="25">
        <f t="shared" si="5"/>
        <v>89291488.399999991</v>
      </c>
      <c r="BU32" s="25">
        <f t="shared" si="5"/>
        <v>4926188.6900000004</v>
      </c>
      <c r="BV32" s="25">
        <f t="shared" si="5"/>
        <v>39323369.270000003</v>
      </c>
      <c r="BW32" s="25">
        <f t="shared" si="5"/>
        <v>59639819.960000001</v>
      </c>
      <c r="BX32" s="25">
        <f t="shared" si="5"/>
        <v>5000</v>
      </c>
      <c r="BY32" s="25">
        <f t="shared" si="5"/>
        <v>103674427.92</v>
      </c>
      <c r="BZ32" s="25">
        <f t="shared" si="5"/>
        <v>63000</v>
      </c>
      <c r="CA32" s="25">
        <f t="shared" si="5"/>
        <v>0</v>
      </c>
      <c r="CB32" s="25">
        <f t="shared" si="5"/>
        <v>103763427.92</v>
      </c>
      <c r="CC32" s="25">
        <f t="shared" si="5"/>
        <v>41339417</v>
      </c>
      <c r="CD32" s="45"/>
      <c r="CE32" s="25">
        <f t="shared" si="5"/>
        <v>16983200</v>
      </c>
      <c r="CF32" s="25">
        <f t="shared" si="5"/>
        <v>13728519</v>
      </c>
      <c r="CG32" s="25">
        <f t="shared" si="5"/>
        <v>12121293</v>
      </c>
      <c r="CH32" s="25">
        <f t="shared" si="5"/>
        <v>15814036</v>
      </c>
      <c r="CI32" s="25">
        <f t="shared" si="5"/>
        <v>14058538</v>
      </c>
      <c r="CJ32" s="25">
        <f t="shared" si="5"/>
        <v>14442026</v>
      </c>
      <c r="CK32" s="25">
        <f t="shared" si="5"/>
        <v>13078730</v>
      </c>
      <c r="CL32" s="25">
        <f t="shared" si="5"/>
        <v>3951103.1899999995</v>
      </c>
      <c r="CM32" s="25">
        <f t="shared" si="5"/>
        <v>2681328.4999999995</v>
      </c>
      <c r="CN32" s="25">
        <f t="shared" si="5"/>
        <v>269158.72000000003</v>
      </c>
      <c r="CO32" s="25">
        <f t="shared" ref="CO32:DO32" si="6">SUM(CO23:CO31)</f>
        <v>140723.23000000001</v>
      </c>
      <c r="CP32" s="25">
        <f t="shared" si="6"/>
        <v>5381.25</v>
      </c>
      <c r="CQ32" s="25">
        <f t="shared" si="6"/>
        <v>146803.27000000002</v>
      </c>
      <c r="CR32" s="25">
        <f t="shared" si="6"/>
        <v>2820045.7600000002</v>
      </c>
      <c r="CS32" s="25">
        <f t="shared" si="6"/>
        <v>954396.16000000003</v>
      </c>
      <c r="CT32" s="25">
        <f t="shared" si="6"/>
        <v>702911.29</v>
      </c>
      <c r="CU32" s="25">
        <f t="shared" si="6"/>
        <v>1511136.78</v>
      </c>
      <c r="CV32" s="25">
        <f t="shared" si="6"/>
        <v>2038440.7499999998</v>
      </c>
      <c r="CW32" s="25">
        <f t="shared" si="6"/>
        <v>2207359.5700000003</v>
      </c>
      <c r="CX32" s="25">
        <f t="shared" si="6"/>
        <v>1218403.7300000002</v>
      </c>
      <c r="CY32" s="25">
        <f t="shared" si="6"/>
        <v>185270.29</v>
      </c>
      <c r="CZ32" s="25">
        <f t="shared" si="6"/>
        <v>3088882.8400000003</v>
      </c>
      <c r="DA32" s="25">
        <f t="shared" si="6"/>
        <v>16865094</v>
      </c>
      <c r="DB32" s="45"/>
      <c r="DC32" s="25">
        <f t="shared" si="6"/>
        <v>5636317</v>
      </c>
      <c r="DD32" s="25">
        <f t="shared" si="6"/>
        <v>4819477</v>
      </c>
      <c r="DE32" s="25">
        <f t="shared" si="6"/>
        <v>6072858</v>
      </c>
      <c r="DF32" s="25">
        <f t="shared" si="6"/>
        <v>5392689</v>
      </c>
      <c r="DG32" s="25">
        <f t="shared" si="6"/>
        <v>806134.30000000016</v>
      </c>
      <c r="DH32" s="25">
        <f t="shared" si="6"/>
        <v>616281.95999999985</v>
      </c>
      <c r="DI32" s="25">
        <f t="shared" si="6"/>
        <v>625.17999999999995</v>
      </c>
      <c r="DJ32" s="25">
        <f t="shared" si="6"/>
        <v>7.5</v>
      </c>
      <c r="DK32" s="25">
        <f t="shared" si="6"/>
        <v>2610.86</v>
      </c>
      <c r="DL32" s="25">
        <f t="shared" si="6"/>
        <v>900.78</v>
      </c>
      <c r="DM32" s="25">
        <f t="shared" si="6"/>
        <v>693505.34</v>
      </c>
      <c r="DN32" s="25">
        <f t="shared" si="6"/>
        <v>48239.969999999994</v>
      </c>
      <c r="DO32" s="25">
        <f t="shared" si="6"/>
        <v>243374.13</v>
      </c>
      <c r="DP32" s="18"/>
      <c r="DQ32" s="25">
        <v>38628</v>
      </c>
      <c r="DR32" s="25">
        <v>1741648</v>
      </c>
      <c r="DS32" s="25">
        <v>116099836</v>
      </c>
      <c r="DT32" s="25">
        <v>385360</v>
      </c>
      <c r="DU32" s="25">
        <v>23578277.289999999</v>
      </c>
      <c r="DV32" s="25">
        <v>285994310</v>
      </c>
      <c r="DW32" s="25">
        <v>4351801</v>
      </c>
      <c r="DX32" s="25">
        <v>4616565</v>
      </c>
      <c r="DY32" s="25">
        <v>78252</v>
      </c>
      <c r="DZ32" s="25">
        <v>5581864</v>
      </c>
      <c r="EA32" s="25">
        <v>4291088</v>
      </c>
      <c r="EB32" s="25">
        <v>794910</v>
      </c>
      <c r="EC32" s="25">
        <v>1563112</v>
      </c>
      <c r="ED32" s="25">
        <v>659835</v>
      </c>
      <c r="EE32" s="25">
        <v>63415</v>
      </c>
      <c r="EF32" s="25">
        <v>242628</v>
      </c>
      <c r="EG32" s="25">
        <f t="shared" ref="EG32:EV32" si="7">SUM(EG23:EG31)</f>
        <v>310206.7</v>
      </c>
      <c r="EH32" s="25">
        <f t="shared" si="7"/>
        <v>2249399</v>
      </c>
      <c r="EI32" s="25">
        <f t="shared" si="7"/>
        <v>1822157</v>
      </c>
      <c r="EJ32" s="25">
        <f t="shared" si="7"/>
        <v>87934699</v>
      </c>
      <c r="EK32" s="25">
        <f t="shared" si="7"/>
        <v>11985587.73</v>
      </c>
      <c r="EL32" s="25">
        <f t="shared" si="7"/>
        <v>54972540.020000003</v>
      </c>
      <c r="EM32" s="25">
        <f t="shared" si="7"/>
        <v>13103151.99</v>
      </c>
      <c r="EN32" s="25">
        <f t="shared" si="7"/>
        <v>1588149.29</v>
      </c>
      <c r="EO32" s="25">
        <f t="shared" si="7"/>
        <v>8741055.7299999986</v>
      </c>
      <c r="EP32" s="25">
        <f t="shared" si="7"/>
        <v>34598639.229999997</v>
      </c>
      <c r="EQ32" s="25">
        <f t="shared" si="7"/>
        <v>24987269.940000001</v>
      </c>
      <c r="ER32" s="25">
        <f t="shared" si="7"/>
        <v>780475.82</v>
      </c>
      <c r="ES32" s="25">
        <f t="shared" si="7"/>
        <v>1866477.15</v>
      </c>
      <c r="ET32" s="25">
        <f t="shared" si="7"/>
        <v>17087088.460000001</v>
      </c>
      <c r="EU32" s="25">
        <f t="shared" si="7"/>
        <v>2523321.0100000002</v>
      </c>
      <c r="EV32" s="25">
        <f t="shared" si="7"/>
        <v>2705431.8499999996</v>
      </c>
      <c r="EW32" s="2"/>
    </row>
    <row r="33" spans="1:153" ht="12" customHeight="1">
      <c r="A33" s="46" t="s">
        <v>344</v>
      </c>
      <c r="B33" s="46"/>
      <c r="C33" s="46"/>
      <c r="D33" s="46"/>
      <c r="E33" s="46"/>
      <c r="F33" s="46"/>
      <c r="G33" s="46"/>
      <c r="H33" s="4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45"/>
      <c r="AA33" s="2"/>
      <c r="AB33" s="45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45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45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</row>
    <row r="34" spans="1:153" ht="12" customHeight="1">
      <c r="A34" s="1" t="s">
        <v>345</v>
      </c>
      <c r="B34" s="19">
        <v>78</v>
      </c>
      <c r="C34" s="19">
        <v>78</v>
      </c>
      <c r="D34" s="1" t="s">
        <v>4</v>
      </c>
      <c r="E34" s="19">
        <v>78</v>
      </c>
      <c r="F34" s="19">
        <v>215</v>
      </c>
      <c r="G34" s="20">
        <v>47</v>
      </c>
      <c r="H34" s="20">
        <v>7</v>
      </c>
      <c r="I34" s="20">
        <v>2</v>
      </c>
      <c r="J34" s="20">
        <v>0</v>
      </c>
      <c r="K34" s="20">
        <v>0</v>
      </c>
      <c r="L34" s="20" t="s">
        <v>4</v>
      </c>
      <c r="M34" s="21" t="s">
        <v>4</v>
      </c>
      <c r="N34" s="19">
        <v>71</v>
      </c>
      <c r="O34" s="1" t="s">
        <v>4</v>
      </c>
      <c r="P34" s="19">
        <v>69</v>
      </c>
      <c r="Q34" s="19">
        <v>143</v>
      </c>
      <c r="R34" s="20">
        <v>31</v>
      </c>
      <c r="S34" s="20">
        <v>6</v>
      </c>
      <c r="T34" s="20">
        <v>2</v>
      </c>
      <c r="U34" s="20">
        <v>16</v>
      </c>
      <c r="V34" s="20">
        <v>0</v>
      </c>
      <c r="W34" s="20" t="s">
        <v>4</v>
      </c>
      <c r="X34" s="21" t="s">
        <v>4</v>
      </c>
      <c r="Y34" s="19">
        <v>3833712</v>
      </c>
      <c r="Z34" s="45"/>
      <c r="AA34" s="19">
        <v>3732837</v>
      </c>
      <c r="AB34" s="45"/>
      <c r="AC34" s="19">
        <v>2546</v>
      </c>
      <c r="AD34" s="22">
        <v>1487010747.3</v>
      </c>
      <c r="AE34" s="22">
        <v>1457788701.03</v>
      </c>
      <c r="AF34" s="22">
        <v>994947282.86000001</v>
      </c>
      <c r="AG34" s="22">
        <v>462841418.17000002</v>
      </c>
      <c r="AH34" s="22">
        <v>0</v>
      </c>
      <c r="AI34" s="22">
        <v>0</v>
      </c>
      <c r="AJ34" s="22">
        <v>29222046.260000002</v>
      </c>
      <c r="AK34" s="22">
        <v>1452789538.01</v>
      </c>
      <c r="AL34" s="22">
        <v>269671082.81</v>
      </c>
      <c r="AM34" s="22">
        <v>1251261203.6500001</v>
      </c>
      <c r="AN34" s="22">
        <v>1056181193.46</v>
      </c>
      <c r="AO34" s="22">
        <v>356434863.64999998</v>
      </c>
      <c r="AP34" s="22">
        <v>38383707.75</v>
      </c>
      <c r="AQ34" s="22">
        <v>169176069.27000001</v>
      </c>
      <c r="AR34" s="22">
        <v>251737377.21000001</v>
      </c>
      <c r="AS34" s="22">
        <v>0</v>
      </c>
      <c r="AT34" s="22">
        <v>28749</v>
      </c>
      <c r="AU34" s="22">
        <v>135373935.78</v>
      </c>
      <c r="AV34" s="22">
        <v>105046490.59999999</v>
      </c>
      <c r="AW34" s="22">
        <v>22253404.48</v>
      </c>
      <c r="AX34" s="22">
        <v>781504.4</v>
      </c>
      <c r="AY34" s="22">
        <v>23034908.879999999</v>
      </c>
      <c r="AZ34" s="22">
        <v>141574867.91999999</v>
      </c>
      <c r="BA34" s="22">
        <v>25118614.18</v>
      </c>
      <c r="BB34" s="22">
        <v>5351619.07</v>
      </c>
      <c r="BC34" s="22">
        <v>46011695.979999997</v>
      </c>
      <c r="BD34" s="22">
        <v>69046604.859999999</v>
      </c>
      <c r="BE34" s="22">
        <v>28340007.690000001</v>
      </c>
      <c r="BF34" s="22">
        <v>174565919.83000001</v>
      </c>
      <c r="BG34" s="22">
        <v>414383166.93000001</v>
      </c>
      <c r="BH34" s="22">
        <v>49718533.469999999</v>
      </c>
      <c r="BI34" s="22">
        <v>544618221.35000002</v>
      </c>
      <c r="BJ34" s="22">
        <v>122389406.56999999</v>
      </c>
      <c r="BK34" s="22">
        <v>0</v>
      </c>
      <c r="BL34" s="22">
        <v>667007627.91999996</v>
      </c>
      <c r="BM34" s="22">
        <v>0</v>
      </c>
      <c r="BN34" s="22">
        <v>130984.98</v>
      </c>
      <c r="BO34" s="22">
        <v>1691278.75</v>
      </c>
      <c r="BP34" s="22">
        <v>1550000</v>
      </c>
      <c r="BQ34" s="22">
        <v>964907.69</v>
      </c>
      <c r="BR34" s="22">
        <v>17225.39</v>
      </c>
      <c r="BS34" s="22">
        <v>2390130.65</v>
      </c>
      <c r="BT34" s="22">
        <v>3372263.73</v>
      </c>
      <c r="BU34" s="22">
        <v>0</v>
      </c>
      <c r="BV34" s="22">
        <v>689011.93</v>
      </c>
      <c r="BW34" s="22">
        <v>18747</v>
      </c>
      <c r="BX34" s="22">
        <v>0</v>
      </c>
      <c r="BY34" s="22">
        <v>707758.93</v>
      </c>
      <c r="BZ34" s="22">
        <v>0</v>
      </c>
      <c r="CA34" s="22">
        <v>0</v>
      </c>
      <c r="CB34" s="22">
        <v>707758.93</v>
      </c>
      <c r="CC34" s="19">
        <v>3199177</v>
      </c>
      <c r="CD34" s="45"/>
      <c r="CE34" s="19">
        <v>1059137</v>
      </c>
      <c r="CF34" s="19">
        <v>918853</v>
      </c>
      <c r="CG34" s="19">
        <v>889650</v>
      </c>
      <c r="CH34" s="19">
        <v>1348558</v>
      </c>
      <c r="CI34" s="19">
        <v>1315995</v>
      </c>
      <c r="CJ34" s="19">
        <v>1226280</v>
      </c>
      <c r="CK34" s="19">
        <v>1196000</v>
      </c>
      <c r="CL34" s="22">
        <v>344959.08</v>
      </c>
      <c r="CM34" s="22">
        <v>276502.88</v>
      </c>
      <c r="CN34" s="22">
        <v>3721.17</v>
      </c>
      <c r="CO34" s="22">
        <v>0</v>
      </c>
      <c r="CP34" s="22">
        <v>0</v>
      </c>
      <c r="CQ34" s="22">
        <v>72.150000000000006</v>
      </c>
      <c r="CR34" s="22">
        <v>343321.11</v>
      </c>
      <c r="CS34" s="22">
        <v>1297.08</v>
      </c>
      <c r="CT34" s="22">
        <v>330556.3</v>
      </c>
      <c r="CU34" s="22">
        <v>192544.8</v>
      </c>
      <c r="CV34" s="22">
        <v>213030.5</v>
      </c>
      <c r="CW34" s="22">
        <v>225475.39</v>
      </c>
      <c r="CX34" s="22">
        <v>140455.12</v>
      </c>
      <c r="CY34" s="22">
        <v>13719.28</v>
      </c>
      <c r="CZ34" s="22">
        <v>184549.19</v>
      </c>
      <c r="DA34" s="19">
        <v>2282303</v>
      </c>
      <c r="DB34" s="45"/>
      <c r="DC34" s="19">
        <v>698513</v>
      </c>
      <c r="DD34" s="19">
        <v>560265</v>
      </c>
      <c r="DE34" s="19">
        <v>904277</v>
      </c>
      <c r="DF34" s="19">
        <v>817473</v>
      </c>
      <c r="DG34" s="22">
        <v>127850.88</v>
      </c>
      <c r="DH34" s="22">
        <v>95836.42</v>
      </c>
      <c r="DI34" s="22">
        <v>40</v>
      </c>
      <c r="DJ34" s="22">
        <v>40</v>
      </c>
      <c r="DK34" s="22">
        <v>0</v>
      </c>
      <c r="DL34" s="22">
        <v>0</v>
      </c>
      <c r="DM34" s="22">
        <v>118189.22</v>
      </c>
      <c r="DN34" s="22">
        <v>6940.82</v>
      </c>
      <c r="DO34" s="22">
        <v>38365.730000000003</v>
      </c>
      <c r="DP34" s="1"/>
      <c r="DQ34" s="19">
        <v>1425</v>
      </c>
      <c r="DR34" s="19">
        <v>16828</v>
      </c>
      <c r="DS34" s="19">
        <v>6824077</v>
      </c>
      <c r="DT34" s="19">
        <v>1374</v>
      </c>
      <c r="DU34" s="22">
        <v>10719</v>
      </c>
      <c r="DV34" s="19">
        <v>2383089</v>
      </c>
      <c r="DW34" s="19">
        <v>588763</v>
      </c>
      <c r="DX34" s="19">
        <v>705774</v>
      </c>
      <c r="DY34" s="19">
        <v>1959</v>
      </c>
      <c r="DZ34" s="19">
        <v>583214</v>
      </c>
      <c r="EA34" s="19">
        <v>588435</v>
      </c>
      <c r="EB34" s="19">
        <v>2509</v>
      </c>
      <c r="EC34" s="19">
        <v>53907</v>
      </c>
      <c r="ED34" s="19">
        <v>60430</v>
      </c>
      <c r="EE34" s="19">
        <v>1143</v>
      </c>
      <c r="EF34" s="19">
        <v>37491</v>
      </c>
      <c r="EG34" s="22">
        <v>39706.379999999997</v>
      </c>
      <c r="EH34" s="19">
        <v>229396</v>
      </c>
      <c r="EI34" s="19">
        <v>207273</v>
      </c>
      <c r="EJ34" s="22">
        <v>8859170.9399999995</v>
      </c>
      <c r="EK34" s="22">
        <v>359502.75</v>
      </c>
      <c r="EL34" s="22">
        <v>4535518</v>
      </c>
      <c r="EM34" s="22">
        <v>625834.11</v>
      </c>
      <c r="EN34" s="22">
        <v>220961.71</v>
      </c>
      <c r="EO34" s="22">
        <v>330192.94</v>
      </c>
      <c r="EP34" s="22">
        <v>3579490.95</v>
      </c>
      <c r="EQ34" s="22">
        <v>1270492.01</v>
      </c>
      <c r="ER34" s="22">
        <v>0</v>
      </c>
      <c r="ES34" s="22">
        <v>243698.9</v>
      </c>
      <c r="ET34" s="22">
        <v>4014720.48</v>
      </c>
      <c r="EU34" s="22">
        <v>333887.15000000002</v>
      </c>
      <c r="EV34" s="22">
        <v>356624.34</v>
      </c>
      <c r="EW34" s="2"/>
    </row>
    <row r="35" spans="1:153" ht="12" customHeight="1">
      <c r="A35" s="1" t="s">
        <v>346</v>
      </c>
      <c r="B35" s="19">
        <v>836</v>
      </c>
      <c r="C35" s="19">
        <v>836</v>
      </c>
      <c r="D35" s="1" t="s">
        <v>4</v>
      </c>
      <c r="E35" s="19">
        <v>835</v>
      </c>
      <c r="F35" s="19">
        <v>1537</v>
      </c>
      <c r="G35" s="20">
        <v>619</v>
      </c>
      <c r="H35" s="20">
        <v>19</v>
      </c>
      <c r="I35" s="20">
        <v>1</v>
      </c>
      <c r="J35" s="20"/>
      <c r="K35" s="20"/>
      <c r="L35" s="20" t="s">
        <v>4</v>
      </c>
      <c r="M35" s="21" t="s">
        <v>4</v>
      </c>
      <c r="N35" s="19">
        <v>714</v>
      </c>
      <c r="O35" s="1" t="s">
        <v>4</v>
      </c>
      <c r="P35" s="19">
        <v>707</v>
      </c>
      <c r="Q35" s="19">
        <v>1070</v>
      </c>
      <c r="R35" s="20">
        <v>272</v>
      </c>
      <c r="S35" s="20">
        <v>4</v>
      </c>
      <c r="T35" s="20">
        <v>1</v>
      </c>
      <c r="U35" s="20">
        <v>17</v>
      </c>
      <c r="V35" s="20"/>
      <c r="W35" s="20" t="s">
        <v>4</v>
      </c>
      <c r="X35" s="21" t="s">
        <v>4</v>
      </c>
      <c r="Y35" s="19">
        <v>20461604</v>
      </c>
      <c r="Z35" s="45"/>
      <c r="AA35" s="19">
        <v>19630220</v>
      </c>
      <c r="AB35" s="45"/>
      <c r="AC35" s="19">
        <v>24087</v>
      </c>
      <c r="AD35" s="22">
        <v>8163146420.1599998</v>
      </c>
      <c r="AE35" s="22">
        <v>7937992700.9399996</v>
      </c>
      <c r="AF35" s="22">
        <v>5149509145.46</v>
      </c>
      <c r="AG35" s="22">
        <v>2787683651.3299999</v>
      </c>
      <c r="AH35" s="22">
        <v>63192.45</v>
      </c>
      <c r="AI35" s="22">
        <v>736711.7</v>
      </c>
      <c r="AJ35" s="22">
        <v>225153716.37</v>
      </c>
      <c r="AK35" s="22">
        <v>7828182748.2700005</v>
      </c>
      <c r="AL35" s="22">
        <v>547035185.91999996</v>
      </c>
      <c r="AM35" s="22">
        <v>7475620211.1999998</v>
      </c>
      <c r="AN35" s="22">
        <v>5122960837.7200003</v>
      </c>
      <c r="AO35" s="22">
        <v>2406784398.1799998</v>
      </c>
      <c r="AP35" s="22">
        <v>211729355.19</v>
      </c>
      <c r="AQ35" s="22">
        <v>824270581.13999999</v>
      </c>
      <c r="AR35" s="22">
        <v>762732975.52999997</v>
      </c>
      <c r="AS35" s="22">
        <v>485685.22</v>
      </c>
      <c r="AT35" s="22">
        <v>637573.01</v>
      </c>
      <c r="AU35" s="22">
        <v>399618314.52999997</v>
      </c>
      <c r="AV35" s="22">
        <v>516701954.04000002</v>
      </c>
      <c r="AW35" s="22">
        <v>365866116.81999999</v>
      </c>
      <c r="AX35" s="22">
        <v>136521090.55000001</v>
      </c>
      <c r="AY35" s="22">
        <v>502387207.37</v>
      </c>
      <c r="AZ35" s="22">
        <v>921239736.10000002</v>
      </c>
      <c r="BA35" s="22">
        <v>162834990.08000001</v>
      </c>
      <c r="BB35" s="22">
        <v>766197438.80999994</v>
      </c>
      <c r="BC35" s="22">
        <v>45141499.509999998</v>
      </c>
      <c r="BD35" s="22">
        <v>547528706.88</v>
      </c>
      <c r="BE35" s="22">
        <v>183244623.18000001</v>
      </c>
      <c r="BF35" s="22">
        <v>621741848.49000001</v>
      </c>
      <c r="BG35" s="22">
        <v>508437046.75</v>
      </c>
      <c r="BH35" s="22">
        <v>248033377.69999999</v>
      </c>
      <c r="BI35" s="22">
        <v>709387986.36000001</v>
      </c>
      <c r="BJ35" s="22">
        <v>847408998.16999996</v>
      </c>
      <c r="BK35" s="22">
        <v>4659911.59</v>
      </c>
      <c r="BL35" s="22">
        <v>1561456896.1199999</v>
      </c>
      <c r="BM35" s="22">
        <v>5286952.28</v>
      </c>
      <c r="BN35" s="22">
        <v>16771673.48</v>
      </c>
      <c r="BO35" s="22">
        <v>54090317.640000001</v>
      </c>
      <c r="BP35" s="22">
        <v>3769019.36</v>
      </c>
      <c r="BQ35" s="22">
        <v>47379116.539999999</v>
      </c>
      <c r="BR35" s="22">
        <v>8663397.0399999991</v>
      </c>
      <c r="BS35" s="22">
        <v>23542657.93</v>
      </c>
      <c r="BT35" s="22">
        <v>79789705.310000002</v>
      </c>
      <c r="BU35" s="22">
        <v>1000</v>
      </c>
      <c r="BV35" s="22">
        <v>411587</v>
      </c>
      <c r="BW35" s="22">
        <v>50000</v>
      </c>
      <c r="BX35" s="22">
        <v>54000</v>
      </c>
      <c r="BY35" s="22">
        <v>0</v>
      </c>
      <c r="BZ35" s="22">
        <v>0</v>
      </c>
      <c r="CA35" s="22">
        <v>315587</v>
      </c>
      <c r="CB35" s="22">
        <v>416587</v>
      </c>
      <c r="CC35" s="19">
        <v>17220808</v>
      </c>
      <c r="CD35" s="45"/>
      <c r="CE35" s="19">
        <v>7575376</v>
      </c>
      <c r="CF35" s="19">
        <v>6702069</v>
      </c>
      <c r="CG35" s="19">
        <v>6481830</v>
      </c>
      <c r="CH35" s="19">
        <v>8214941</v>
      </c>
      <c r="CI35" s="19">
        <v>7979278</v>
      </c>
      <c r="CJ35" s="19">
        <v>7302808</v>
      </c>
      <c r="CK35" s="19">
        <v>7136409</v>
      </c>
      <c r="CL35" s="22">
        <v>1696255.14</v>
      </c>
      <c r="CM35" s="22">
        <v>1410336.54</v>
      </c>
      <c r="CN35" s="22">
        <v>15615.68</v>
      </c>
      <c r="CO35" s="22">
        <v>6133.73</v>
      </c>
      <c r="CP35" s="22">
        <v>105</v>
      </c>
      <c r="CQ35" s="22">
        <v>2603.29</v>
      </c>
      <c r="CR35" s="22">
        <v>1324531.57</v>
      </c>
      <c r="CS35" s="22">
        <v>357009.76</v>
      </c>
      <c r="CT35" s="22">
        <v>1487927.47</v>
      </c>
      <c r="CU35" s="22">
        <v>989548.5</v>
      </c>
      <c r="CV35" s="22">
        <v>1066589.75</v>
      </c>
      <c r="CW35" s="22">
        <v>1080918.8500000001</v>
      </c>
      <c r="CX35" s="22">
        <v>821833.33</v>
      </c>
      <c r="CY35" s="22">
        <v>96395.03</v>
      </c>
      <c r="CZ35" s="22">
        <v>1153410.26</v>
      </c>
      <c r="DA35" s="19">
        <v>15649212</v>
      </c>
      <c r="DB35" s="45"/>
      <c r="DC35" s="19">
        <v>6377867</v>
      </c>
      <c r="DD35" s="19">
        <v>5762567</v>
      </c>
      <c r="DE35" s="19">
        <v>6573221</v>
      </c>
      <c r="DF35" s="19">
        <v>5885421</v>
      </c>
      <c r="DG35" s="22">
        <v>868595.1</v>
      </c>
      <c r="DH35" s="22">
        <v>496078.56</v>
      </c>
      <c r="DI35" s="22">
        <v>5190.04</v>
      </c>
      <c r="DJ35" s="22">
        <v>1300.1300000000001</v>
      </c>
      <c r="DK35" s="22">
        <v>5838.04</v>
      </c>
      <c r="DL35" s="22">
        <v>554.54</v>
      </c>
      <c r="DM35" s="22">
        <v>748696.14</v>
      </c>
      <c r="DN35" s="22">
        <v>68971.259999999995</v>
      </c>
      <c r="DO35" s="22">
        <v>113448.07</v>
      </c>
      <c r="DP35" s="1"/>
      <c r="DQ35" s="19">
        <v>6153</v>
      </c>
      <c r="DR35" s="19">
        <v>67742</v>
      </c>
      <c r="DS35" s="19">
        <v>12168994</v>
      </c>
      <c r="DT35" s="19">
        <v>7914</v>
      </c>
      <c r="DU35" s="22">
        <v>99543.55</v>
      </c>
      <c r="DV35" s="19">
        <v>1810568</v>
      </c>
      <c r="DW35" s="19">
        <v>3299235</v>
      </c>
      <c r="DX35" s="19">
        <v>3712503</v>
      </c>
      <c r="DY35" s="19">
        <v>10709</v>
      </c>
      <c r="DZ35" s="19">
        <v>3235294</v>
      </c>
      <c r="EA35" s="19">
        <v>3558621</v>
      </c>
      <c r="EB35" s="19">
        <v>29326</v>
      </c>
      <c r="EC35" s="19">
        <v>298295</v>
      </c>
      <c r="ED35" s="19">
        <v>364996</v>
      </c>
      <c r="EE35" s="19">
        <v>3792</v>
      </c>
      <c r="EF35" s="19">
        <v>261283</v>
      </c>
      <c r="EG35" s="22">
        <v>3760838.18</v>
      </c>
      <c r="EH35" s="19">
        <v>9237447</v>
      </c>
      <c r="EI35" s="19">
        <v>5670968</v>
      </c>
      <c r="EJ35" s="22">
        <v>730766631.85000002</v>
      </c>
      <c r="EK35" s="22">
        <v>2739133.45</v>
      </c>
      <c r="EL35" s="22">
        <v>14325545.92</v>
      </c>
      <c r="EM35" s="22">
        <v>4247289.5599999996</v>
      </c>
      <c r="EN35" s="22">
        <v>942370.84</v>
      </c>
      <c r="EO35" s="22">
        <v>2139694.5699999998</v>
      </c>
      <c r="EP35" s="22">
        <v>8023833.5599999996</v>
      </c>
      <c r="EQ35" s="22">
        <v>6520051.5899999999</v>
      </c>
      <c r="ER35" s="22">
        <v>0</v>
      </c>
      <c r="ES35" s="22">
        <v>1449519.67</v>
      </c>
      <c r="ET35" s="22">
        <v>3628353.34</v>
      </c>
      <c r="EU35" s="22">
        <v>1575230.69</v>
      </c>
      <c r="EV35" s="22">
        <v>2197872.5099999998</v>
      </c>
      <c r="EW35" s="2"/>
    </row>
    <row r="36" spans="1:153" ht="12" customHeight="1">
      <c r="A36" s="1" t="s">
        <v>347</v>
      </c>
      <c r="B36" s="19">
        <v>92</v>
      </c>
      <c r="C36" s="19">
        <v>92</v>
      </c>
      <c r="D36" s="1" t="s">
        <v>4</v>
      </c>
      <c r="E36" s="19">
        <v>92</v>
      </c>
      <c r="F36" s="19">
        <v>326</v>
      </c>
      <c r="G36" s="20">
        <v>75</v>
      </c>
      <c r="H36" s="20">
        <v>5</v>
      </c>
      <c r="I36" s="20">
        <v>46</v>
      </c>
      <c r="J36" s="20">
        <v>0</v>
      </c>
      <c r="K36" s="20">
        <v>0</v>
      </c>
      <c r="L36" s="20" t="s">
        <v>4</v>
      </c>
      <c r="M36" s="21" t="s">
        <v>4</v>
      </c>
      <c r="N36" s="19">
        <v>70</v>
      </c>
      <c r="O36" s="1" t="s">
        <v>4</v>
      </c>
      <c r="P36" s="19">
        <v>68</v>
      </c>
      <c r="Q36" s="19">
        <v>188</v>
      </c>
      <c r="R36" s="20">
        <v>32</v>
      </c>
      <c r="S36" s="20">
        <v>0</v>
      </c>
      <c r="T36" s="20">
        <v>5</v>
      </c>
      <c r="U36" s="20">
        <v>30</v>
      </c>
      <c r="V36" s="20">
        <v>4</v>
      </c>
      <c r="W36" s="20" t="s">
        <v>4</v>
      </c>
      <c r="X36" s="21" t="s">
        <v>4</v>
      </c>
      <c r="Y36" s="19">
        <v>16055174</v>
      </c>
      <c r="Z36" s="45"/>
      <c r="AA36" s="19">
        <v>15090070</v>
      </c>
      <c r="AB36" s="45"/>
      <c r="AC36" s="19">
        <v>16646</v>
      </c>
      <c r="AD36" s="22">
        <v>12910502569.85</v>
      </c>
      <c r="AE36" s="22">
        <v>12486966299.780001</v>
      </c>
      <c r="AF36" s="22">
        <v>6356349814.25</v>
      </c>
      <c r="AG36" s="22">
        <v>3532877521.3499999</v>
      </c>
      <c r="AH36" s="22">
        <v>2597714964.1799998</v>
      </c>
      <c r="AI36" s="22">
        <v>24000</v>
      </c>
      <c r="AJ36" s="22">
        <v>423536270.06999999</v>
      </c>
      <c r="AK36" s="22">
        <v>10383710847.280001</v>
      </c>
      <c r="AL36" s="22">
        <v>5643430123</v>
      </c>
      <c r="AM36" s="22">
        <v>12048062746.049999</v>
      </c>
      <c r="AN36" s="22">
        <v>8306462349.7200003</v>
      </c>
      <c r="AO36" s="22">
        <v>1808581000.55</v>
      </c>
      <c r="AP36" s="22">
        <v>284908526.98000002</v>
      </c>
      <c r="AQ36" s="22">
        <v>1106534460.48</v>
      </c>
      <c r="AR36" s="22">
        <v>1022649178.1799999</v>
      </c>
      <c r="AS36" s="22">
        <v>2371561384.8299999</v>
      </c>
      <c r="AT36" s="22">
        <v>30159</v>
      </c>
      <c r="AU36" s="22">
        <v>1015493165.26</v>
      </c>
      <c r="AV36" s="22">
        <v>696704474.42999995</v>
      </c>
      <c r="AW36" s="22">
        <v>1339982726.9200001</v>
      </c>
      <c r="AX36" s="22">
        <v>45597188.100000001</v>
      </c>
      <c r="AY36" s="22">
        <v>1385579915.02</v>
      </c>
      <c r="AZ36" s="22">
        <v>1761968013.1199999</v>
      </c>
      <c r="BA36" s="22">
        <v>410304274.73000002</v>
      </c>
      <c r="BB36" s="22">
        <v>183748193.46000001</v>
      </c>
      <c r="BC36" s="22">
        <v>496900669.39999998</v>
      </c>
      <c r="BD36" s="22">
        <v>1882480584.4200001</v>
      </c>
      <c r="BE36" s="22">
        <v>114279076.44</v>
      </c>
      <c r="BF36" s="22">
        <v>1473274833.5599999</v>
      </c>
      <c r="BG36" s="22">
        <v>487687486.77999997</v>
      </c>
      <c r="BH36" s="22">
        <v>158023475.34999999</v>
      </c>
      <c r="BI36" s="22">
        <v>1875141594.1700001</v>
      </c>
      <c r="BJ36" s="22">
        <v>353448317.54000002</v>
      </c>
      <c r="BK36" s="22">
        <v>4674960.42</v>
      </c>
      <c r="BL36" s="22">
        <v>2233264872.1300001</v>
      </c>
      <c r="BM36" s="22">
        <v>252090</v>
      </c>
      <c r="BN36" s="22">
        <v>11857399.289999999</v>
      </c>
      <c r="BO36" s="22">
        <v>69403567.040000007</v>
      </c>
      <c r="BP36" s="22">
        <v>2353820.91</v>
      </c>
      <c r="BQ36" s="22">
        <v>82184877.239999995</v>
      </c>
      <c r="BR36" s="22">
        <v>1682000</v>
      </c>
      <c r="BS36" s="22">
        <v>0</v>
      </c>
      <c r="BT36" s="22">
        <v>83866877.239999995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2">
        <v>0</v>
      </c>
      <c r="CA36" s="22">
        <v>0</v>
      </c>
      <c r="CB36" s="22">
        <v>0</v>
      </c>
      <c r="CC36" s="19">
        <v>14303160</v>
      </c>
      <c r="CD36" s="45"/>
      <c r="CE36" s="19">
        <v>3865108</v>
      </c>
      <c r="CF36" s="19">
        <v>3450149</v>
      </c>
      <c r="CG36" s="19">
        <v>2209613</v>
      </c>
      <c r="CH36" s="19">
        <v>5537058</v>
      </c>
      <c r="CI36" s="19">
        <v>4207197</v>
      </c>
      <c r="CJ36" s="19">
        <v>5011799</v>
      </c>
      <c r="CK36" s="19">
        <v>3844157</v>
      </c>
      <c r="CL36" s="22">
        <v>2340308.21</v>
      </c>
      <c r="CM36" s="22">
        <v>2057772.59</v>
      </c>
      <c r="CN36" s="22">
        <v>129923.57</v>
      </c>
      <c r="CO36" s="22">
        <v>1368459.73</v>
      </c>
      <c r="CP36" s="22">
        <v>0</v>
      </c>
      <c r="CQ36" s="22">
        <v>1610566.98</v>
      </c>
      <c r="CR36" s="22">
        <v>1923915.7</v>
      </c>
      <c r="CS36" s="22">
        <v>334097.57</v>
      </c>
      <c r="CT36" s="22">
        <v>1904949.19</v>
      </c>
      <c r="CU36" s="22">
        <v>520047.09</v>
      </c>
      <c r="CV36" s="22">
        <v>2434598.7999999998</v>
      </c>
      <c r="CW36" s="22">
        <v>2790127.73</v>
      </c>
      <c r="CX36" s="22">
        <v>449629.28</v>
      </c>
      <c r="CY36" s="22">
        <v>49994.93</v>
      </c>
      <c r="CZ36" s="22">
        <v>1186940.1599999999</v>
      </c>
      <c r="DA36" s="19">
        <v>10428423</v>
      </c>
      <c r="DB36" s="45"/>
      <c r="DC36" s="19">
        <v>2295431</v>
      </c>
      <c r="DD36" s="19">
        <v>2075766</v>
      </c>
      <c r="DE36" s="19">
        <v>3616312</v>
      </c>
      <c r="DF36" s="19">
        <v>3214602</v>
      </c>
      <c r="DG36" s="22">
        <v>650589.53</v>
      </c>
      <c r="DH36" s="22">
        <v>498708.2</v>
      </c>
      <c r="DI36" s="22">
        <v>5605</v>
      </c>
      <c r="DJ36" s="22">
        <v>229.9</v>
      </c>
      <c r="DK36" s="22">
        <v>513.73</v>
      </c>
      <c r="DL36" s="22">
        <v>513.72</v>
      </c>
      <c r="DM36" s="22">
        <v>600929.09</v>
      </c>
      <c r="DN36" s="22">
        <v>20243.62</v>
      </c>
      <c r="DO36" s="22">
        <v>117549.78</v>
      </c>
      <c r="DP36" s="1"/>
      <c r="DQ36" s="19">
        <v>2040</v>
      </c>
      <c r="DR36" s="19">
        <v>34038</v>
      </c>
      <c r="DS36" s="19">
        <v>5884183</v>
      </c>
      <c r="DT36" s="19">
        <v>2754</v>
      </c>
      <c r="DU36" s="22">
        <v>41776.67</v>
      </c>
      <c r="DV36" s="19">
        <v>2739443</v>
      </c>
      <c r="DW36" s="19">
        <v>1243224</v>
      </c>
      <c r="DX36" s="19">
        <v>1184803</v>
      </c>
      <c r="DY36" s="19">
        <v>5040</v>
      </c>
      <c r="DZ36" s="19">
        <v>1391210</v>
      </c>
      <c r="EA36" s="19">
        <v>1172461</v>
      </c>
      <c r="EB36" s="19">
        <v>36282</v>
      </c>
      <c r="EC36" s="19">
        <v>150867</v>
      </c>
      <c r="ED36" s="19">
        <v>148993</v>
      </c>
      <c r="EE36" s="19">
        <v>2959</v>
      </c>
      <c r="EF36" s="19">
        <v>45366</v>
      </c>
      <c r="EG36" s="22">
        <v>1561954.23</v>
      </c>
      <c r="EH36" s="19">
        <v>2051044</v>
      </c>
      <c r="EI36" s="19">
        <v>1830381</v>
      </c>
      <c r="EJ36" s="22">
        <v>45466460.539999999</v>
      </c>
      <c r="EK36" s="22">
        <v>49240639.079999998</v>
      </c>
      <c r="EL36" s="22">
        <v>112216552.78</v>
      </c>
      <c r="EM36" s="22">
        <v>37566795.899999999</v>
      </c>
      <c r="EN36" s="22">
        <v>1402808.95</v>
      </c>
      <c r="EO36" s="22">
        <v>41281501.289999999</v>
      </c>
      <c r="EP36" s="22">
        <v>37595143.009999998</v>
      </c>
      <c r="EQ36" s="22">
        <v>81159284.019999996</v>
      </c>
      <c r="ER36" s="22">
        <v>0.5</v>
      </c>
      <c r="ES36" s="22">
        <v>-7872471.4299999997</v>
      </c>
      <c r="ET36" s="22">
        <v>21083406.989999998</v>
      </c>
      <c r="EU36" s="22">
        <v>-5246459.47</v>
      </c>
      <c r="EV36" s="22">
        <v>-5742842.8899999997</v>
      </c>
      <c r="EW36" s="2"/>
    </row>
    <row r="37" spans="1:153" ht="12" customHeight="1">
      <c r="A37" s="1" t="s">
        <v>348</v>
      </c>
      <c r="B37" s="19">
        <v>643</v>
      </c>
      <c r="C37" s="19">
        <v>643</v>
      </c>
      <c r="D37" s="1" t="s">
        <v>4</v>
      </c>
      <c r="E37" s="19">
        <v>642</v>
      </c>
      <c r="F37" s="19">
        <v>787</v>
      </c>
      <c r="G37" s="20">
        <v>406</v>
      </c>
      <c r="H37" s="20">
        <v>1</v>
      </c>
      <c r="I37" s="20">
        <v>1</v>
      </c>
      <c r="J37" s="20"/>
      <c r="K37" s="20"/>
      <c r="L37" s="20" t="s">
        <v>4</v>
      </c>
      <c r="M37" s="21" t="s">
        <v>4</v>
      </c>
      <c r="N37" s="19">
        <v>643</v>
      </c>
      <c r="O37" s="1" t="s">
        <v>4</v>
      </c>
      <c r="P37" s="19">
        <v>642</v>
      </c>
      <c r="Q37" s="19">
        <v>695</v>
      </c>
      <c r="R37" s="20">
        <v>406</v>
      </c>
      <c r="S37" s="20">
        <v>1</v>
      </c>
      <c r="T37" s="20">
        <v>1</v>
      </c>
      <c r="U37" s="20"/>
      <c r="V37" s="20"/>
      <c r="W37" s="20" t="s">
        <v>4</v>
      </c>
      <c r="X37" s="21" t="s">
        <v>4</v>
      </c>
      <c r="Y37" s="19">
        <v>44375688</v>
      </c>
      <c r="Z37" s="45"/>
      <c r="AA37" s="19">
        <v>44375688</v>
      </c>
      <c r="AB37" s="45"/>
      <c r="AC37" s="19">
        <v>33530</v>
      </c>
      <c r="AD37" s="22">
        <v>26725299724.419998</v>
      </c>
      <c r="AE37" s="22">
        <v>25642916456.470001</v>
      </c>
      <c r="AF37" s="22">
        <v>13358839934.129999</v>
      </c>
      <c r="AG37" s="22">
        <v>12138413289.610001</v>
      </c>
      <c r="AH37" s="22">
        <v>96783679.129999995</v>
      </c>
      <c r="AI37" s="22">
        <v>48879553.600000001</v>
      </c>
      <c r="AJ37" s="22">
        <v>1082383267.51</v>
      </c>
      <c r="AK37" s="22">
        <v>25383160517.09</v>
      </c>
      <c r="AL37" s="22">
        <v>7832779901.6300001</v>
      </c>
      <c r="AM37" s="22">
        <v>23955338337.07</v>
      </c>
      <c r="AN37" s="22">
        <v>17043954502.620001</v>
      </c>
      <c r="AO37" s="22">
        <v>5155729192.6499996</v>
      </c>
      <c r="AP37" s="22">
        <v>939494653.26999998</v>
      </c>
      <c r="AQ37" s="22">
        <v>2648450812.1100001</v>
      </c>
      <c r="AR37" s="22">
        <v>3762519500.8000002</v>
      </c>
      <c r="AS37" s="22">
        <v>101827894.88</v>
      </c>
      <c r="AT37" s="22">
        <v>33505523.789999999</v>
      </c>
      <c r="AU37" s="22">
        <v>1766618398.79</v>
      </c>
      <c r="AV37" s="22">
        <v>2635808525.3200002</v>
      </c>
      <c r="AW37" s="22">
        <v>1239930030.8099999</v>
      </c>
      <c r="AX37" s="22">
        <v>-16379136</v>
      </c>
      <c r="AY37" s="22">
        <v>1223550894.8099999</v>
      </c>
      <c r="AZ37" s="22">
        <v>3625166866.8800001</v>
      </c>
      <c r="BA37" s="22">
        <v>1200251306.76</v>
      </c>
      <c r="BB37" s="22">
        <v>862414765.42999995</v>
      </c>
      <c r="BC37" s="22">
        <v>1712895009.9200001</v>
      </c>
      <c r="BD37" s="22">
        <v>2936445904.73</v>
      </c>
      <c r="BE37" s="22">
        <v>252142494.30000001</v>
      </c>
      <c r="BF37" s="22">
        <v>2261896860.7600002</v>
      </c>
      <c r="BG37" s="22">
        <v>3190102177.8899999</v>
      </c>
      <c r="BH37" s="22">
        <v>539323501.27999997</v>
      </c>
      <c r="BI37" s="22">
        <v>4182070173.4299998</v>
      </c>
      <c r="BJ37" s="22">
        <v>2017675244.96</v>
      </c>
      <c r="BK37" s="22">
        <v>43719615.840000004</v>
      </c>
      <c r="BL37" s="22">
        <v>6243465034.2299995</v>
      </c>
      <c r="BM37" s="22">
        <v>2467772.2599999998</v>
      </c>
      <c r="BN37" s="22">
        <v>64727719.670000002</v>
      </c>
      <c r="BO37" s="22">
        <v>40343106.740000002</v>
      </c>
      <c r="BP37" s="22">
        <v>6029807.2999999998</v>
      </c>
      <c r="BQ37" s="22">
        <v>48845426.25</v>
      </c>
      <c r="BR37" s="22">
        <v>47642242.509999998</v>
      </c>
      <c r="BS37" s="22">
        <v>16142158.869999999</v>
      </c>
      <c r="BT37" s="22">
        <v>114474405.97</v>
      </c>
      <c r="BU37" s="22">
        <v>768100.34</v>
      </c>
      <c r="BV37" s="22">
        <v>15461462.33</v>
      </c>
      <c r="BW37" s="22">
        <v>12888118.869999999</v>
      </c>
      <c r="BX37" s="22">
        <v>1183600.24</v>
      </c>
      <c r="BY37" s="22">
        <v>18586783.68</v>
      </c>
      <c r="BZ37" s="22">
        <v>0</v>
      </c>
      <c r="CA37" s="22">
        <v>9444781.7400000002</v>
      </c>
      <c r="CB37" s="22">
        <v>27325630.27</v>
      </c>
      <c r="CC37" s="19">
        <v>42249326</v>
      </c>
      <c r="CD37" s="45"/>
      <c r="CE37" s="19">
        <v>15859693</v>
      </c>
      <c r="CF37" s="19">
        <v>14749059</v>
      </c>
      <c r="CG37" s="19">
        <v>14660140</v>
      </c>
      <c r="CH37" s="19">
        <v>19289773</v>
      </c>
      <c r="CI37" s="19">
        <v>19141303</v>
      </c>
      <c r="CJ37" s="19">
        <v>17623698</v>
      </c>
      <c r="CK37" s="19">
        <v>17492524</v>
      </c>
      <c r="CL37" s="22">
        <v>4543342.3899999997</v>
      </c>
      <c r="CM37" s="22">
        <v>4306138.7</v>
      </c>
      <c r="CN37" s="22">
        <v>240708.73</v>
      </c>
      <c r="CO37" s="22">
        <v>53839.71</v>
      </c>
      <c r="CP37" s="22">
        <v>0</v>
      </c>
      <c r="CQ37" s="22">
        <v>35729.75</v>
      </c>
      <c r="CR37" s="22">
        <v>3698760.11</v>
      </c>
      <c r="CS37" s="22">
        <v>820167.24</v>
      </c>
      <c r="CT37" s="22">
        <v>4472433</v>
      </c>
      <c r="CU37" s="22">
        <v>2758409.84</v>
      </c>
      <c r="CV37" s="22">
        <v>2871507.99</v>
      </c>
      <c r="CW37" s="22">
        <v>3340722.66</v>
      </c>
      <c r="CX37" s="22">
        <v>2350735.87</v>
      </c>
      <c r="CY37" s="22">
        <v>160877.16</v>
      </c>
      <c r="CZ37" s="22">
        <v>3573034.47</v>
      </c>
      <c r="DA37" s="19">
        <v>40178038</v>
      </c>
      <c r="DB37" s="45"/>
      <c r="DC37" s="19">
        <v>14218505</v>
      </c>
      <c r="DD37" s="19">
        <v>13339007</v>
      </c>
      <c r="DE37" s="19">
        <v>17578693</v>
      </c>
      <c r="DF37" s="19">
        <v>16112424</v>
      </c>
      <c r="DG37" s="22">
        <v>2320740.61</v>
      </c>
      <c r="DH37" s="22">
        <v>2016872.19</v>
      </c>
      <c r="DI37" s="22">
        <v>26112.81</v>
      </c>
      <c r="DJ37" s="22">
        <v>26112.81</v>
      </c>
      <c r="DK37" s="22">
        <v>29273.69</v>
      </c>
      <c r="DL37" s="22">
        <v>29263.97</v>
      </c>
      <c r="DM37" s="22">
        <v>2947445.05</v>
      </c>
      <c r="DN37" s="22">
        <v>123557.64</v>
      </c>
      <c r="DO37" s="22">
        <v>781408.79</v>
      </c>
      <c r="DP37" s="1"/>
      <c r="DQ37" s="19">
        <v>7576</v>
      </c>
      <c r="DR37" s="19">
        <v>131799</v>
      </c>
      <c r="DS37" s="19">
        <v>19968167</v>
      </c>
      <c r="DT37" s="19">
        <v>3092</v>
      </c>
      <c r="DU37" s="22">
        <v>133886.56</v>
      </c>
      <c r="DV37" s="19">
        <v>1074538</v>
      </c>
      <c r="DW37" s="19">
        <v>2177935</v>
      </c>
      <c r="DX37" s="19">
        <v>3242548</v>
      </c>
      <c r="DY37" s="19">
        <v>21093</v>
      </c>
      <c r="DZ37" s="19">
        <v>2227019</v>
      </c>
      <c r="EA37" s="19">
        <v>3231881</v>
      </c>
      <c r="EB37" s="19">
        <v>29140</v>
      </c>
      <c r="EC37" s="19">
        <v>583639</v>
      </c>
      <c r="ED37" s="19">
        <v>626343</v>
      </c>
      <c r="EE37" s="19">
        <v>5404</v>
      </c>
      <c r="EF37" s="19">
        <v>160130</v>
      </c>
      <c r="EG37" s="22">
        <v>2546647.9300000002</v>
      </c>
      <c r="EH37" s="19">
        <v>4068227</v>
      </c>
      <c r="EI37" s="19">
        <v>3704504</v>
      </c>
      <c r="EJ37" s="22">
        <v>113568414.42</v>
      </c>
      <c r="EK37" s="22">
        <v>39325117.310000002</v>
      </c>
      <c r="EL37" s="22">
        <v>238181384.33000001</v>
      </c>
      <c r="EM37" s="22">
        <v>93501690.430000007</v>
      </c>
      <c r="EN37" s="22">
        <v>11972931.970000001</v>
      </c>
      <c r="EO37" s="22">
        <v>30011033.920000002</v>
      </c>
      <c r="EP37" s="22">
        <v>114680432.23</v>
      </c>
      <c r="EQ37" s="22">
        <v>101305990.04000001</v>
      </c>
      <c r="ER37" s="22">
        <v>2258.5100000000002</v>
      </c>
      <c r="ES37" s="22">
        <v>25382750.780000001</v>
      </c>
      <c r="ET37" s="22">
        <v>147402406.34</v>
      </c>
      <c r="EU37" s="22">
        <v>22929497.280000001</v>
      </c>
      <c r="EV37" s="22">
        <v>36340272.109999999</v>
      </c>
      <c r="EW37" s="2"/>
    </row>
    <row r="38" spans="1:153" ht="12" customHeight="1">
      <c r="A38" s="23" t="s">
        <v>333</v>
      </c>
      <c r="B38" s="24">
        <v>1649</v>
      </c>
      <c r="C38" s="24">
        <v>1649</v>
      </c>
      <c r="D38" s="18" t="s">
        <v>4</v>
      </c>
      <c r="E38" s="24">
        <v>1647</v>
      </c>
      <c r="F38" s="25">
        <f>SUM(F34:F37)</f>
        <v>2865</v>
      </c>
      <c r="G38" s="24">
        <v>1147</v>
      </c>
      <c r="H38" s="24">
        <v>32</v>
      </c>
      <c r="I38" s="24">
        <v>50</v>
      </c>
      <c r="J38" s="24">
        <v>0</v>
      </c>
      <c r="K38" s="24">
        <v>0</v>
      </c>
      <c r="L38" s="24" t="s">
        <v>4</v>
      </c>
      <c r="M38" s="26" t="s">
        <v>4</v>
      </c>
      <c r="N38" s="24">
        <v>1498</v>
      </c>
      <c r="O38" s="18" t="s">
        <v>4</v>
      </c>
      <c r="P38" s="24">
        <v>1486</v>
      </c>
      <c r="Q38" s="25">
        <f>SUM(Q34:Q37)</f>
        <v>2096</v>
      </c>
      <c r="R38" s="24">
        <v>741</v>
      </c>
      <c r="S38" s="24">
        <v>11</v>
      </c>
      <c r="T38" s="24">
        <v>9</v>
      </c>
      <c r="U38" s="24">
        <v>63</v>
      </c>
      <c r="V38" s="24">
        <v>4</v>
      </c>
      <c r="W38" s="24" t="s">
        <v>4</v>
      </c>
      <c r="X38" s="26" t="s">
        <v>4</v>
      </c>
      <c r="Y38" s="24">
        <v>84726178</v>
      </c>
      <c r="Z38" s="45"/>
      <c r="AA38" s="24">
        <v>82828815</v>
      </c>
      <c r="AB38" s="45"/>
      <c r="AC38" s="25">
        <f t="shared" ref="AC38:BH38" si="8">SUM(AC34:AC37)</f>
        <v>76809</v>
      </c>
      <c r="AD38" s="25">
        <f t="shared" si="8"/>
        <v>49285959461.729996</v>
      </c>
      <c r="AE38" s="25">
        <f t="shared" si="8"/>
        <v>47525664158.220001</v>
      </c>
      <c r="AF38" s="25">
        <f t="shared" si="8"/>
        <v>25859646176.699997</v>
      </c>
      <c r="AG38" s="25">
        <f t="shared" si="8"/>
        <v>18921815880.459999</v>
      </c>
      <c r="AH38" s="25">
        <f t="shared" si="8"/>
        <v>2694561835.7599998</v>
      </c>
      <c r="AI38" s="25">
        <f t="shared" si="8"/>
        <v>49640265.300000004</v>
      </c>
      <c r="AJ38" s="25">
        <f t="shared" si="8"/>
        <v>1760295300.21</v>
      </c>
      <c r="AK38" s="25">
        <f t="shared" si="8"/>
        <v>45047843650.650002</v>
      </c>
      <c r="AL38" s="25">
        <f t="shared" si="8"/>
        <v>14292916293.360001</v>
      </c>
      <c r="AM38" s="25">
        <f t="shared" si="8"/>
        <v>44730282497.970001</v>
      </c>
      <c r="AN38" s="25">
        <f t="shared" si="8"/>
        <v>31529558883.520004</v>
      </c>
      <c r="AO38" s="25">
        <f t="shared" si="8"/>
        <v>9727529455.0299988</v>
      </c>
      <c r="AP38" s="25">
        <f t="shared" si="8"/>
        <v>1474516243.1900001</v>
      </c>
      <c r="AQ38" s="25">
        <f t="shared" si="8"/>
        <v>4748431923</v>
      </c>
      <c r="AR38" s="25">
        <f t="shared" si="8"/>
        <v>5799639031.7200003</v>
      </c>
      <c r="AS38" s="25">
        <f t="shared" si="8"/>
        <v>2473874964.9299998</v>
      </c>
      <c r="AT38" s="25">
        <f t="shared" si="8"/>
        <v>34202004.799999997</v>
      </c>
      <c r="AU38" s="25">
        <f t="shared" si="8"/>
        <v>3317103814.3599997</v>
      </c>
      <c r="AV38" s="25">
        <f t="shared" si="8"/>
        <v>3954261444.3900003</v>
      </c>
      <c r="AW38" s="25">
        <f t="shared" si="8"/>
        <v>2968032279.0299997</v>
      </c>
      <c r="AX38" s="25">
        <f t="shared" si="8"/>
        <v>166520647.05000001</v>
      </c>
      <c r="AY38" s="25">
        <f t="shared" si="8"/>
        <v>3134552926.0799999</v>
      </c>
      <c r="AZ38" s="25">
        <f t="shared" si="8"/>
        <v>6449949484.0200005</v>
      </c>
      <c r="BA38" s="25">
        <f t="shared" si="8"/>
        <v>1798509185.75</v>
      </c>
      <c r="BB38" s="25">
        <f t="shared" si="8"/>
        <v>1817712016.77</v>
      </c>
      <c r="BC38" s="25">
        <f t="shared" si="8"/>
        <v>2300948874.8099999</v>
      </c>
      <c r="BD38" s="25">
        <f t="shared" si="8"/>
        <v>5435501800.8899994</v>
      </c>
      <c r="BE38" s="25">
        <f t="shared" si="8"/>
        <v>578006201.61000001</v>
      </c>
      <c r="BF38" s="25">
        <f t="shared" si="8"/>
        <v>4531479462.6400003</v>
      </c>
      <c r="BG38" s="25">
        <f t="shared" si="8"/>
        <v>4600609878.3500004</v>
      </c>
      <c r="BH38" s="25">
        <f t="shared" si="8"/>
        <v>995098887.79999995</v>
      </c>
      <c r="BI38" s="25">
        <f t="shared" ref="BI38:CN38" si="9">SUM(BI34:BI37)</f>
        <v>7311217975.3099995</v>
      </c>
      <c r="BJ38" s="25">
        <f t="shared" si="9"/>
        <v>3340921967.2399998</v>
      </c>
      <c r="BK38" s="25">
        <f t="shared" si="9"/>
        <v>53054487.850000001</v>
      </c>
      <c r="BL38" s="25">
        <f t="shared" si="9"/>
        <v>10705194430.4</v>
      </c>
      <c r="BM38" s="25">
        <f t="shared" si="9"/>
        <v>8006814.54</v>
      </c>
      <c r="BN38" s="25">
        <f t="shared" si="9"/>
        <v>93487777.420000002</v>
      </c>
      <c r="BO38" s="25">
        <f t="shared" si="9"/>
        <v>165528270.17000002</v>
      </c>
      <c r="BP38" s="25">
        <f t="shared" si="9"/>
        <v>13702647.57</v>
      </c>
      <c r="BQ38" s="25">
        <f t="shared" si="9"/>
        <v>179374327.72</v>
      </c>
      <c r="BR38" s="25">
        <f t="shared" si="9"/>
        <v>58004864.939999998</v>
      </c>
      <c r="BS38" s="25">
        <f t="shared" si="9"/>
        <v>42074947.449999996</v>
      </c>
      <c r="BT38" s="25">
        <f t="shared" si="9"/>
        <v>281503252.25</v>
      </c>
      <c r="BU38" s="25">
        <f t="shared" si="9"/>
        <v>769100.34</v>
      </c>
      <c r="BV38" s="25">
        <f t="shared" si="9"/>
        <v>16562061.26</v>
      </c>
      <c r="BW38" s="25">
        <f t="shared" si="9"/>
        <v>12956865.869999999</v>
      </c>
      <c r="BX38" s="25">
        <f t="shared" si="9"/>
        <v>1237600.24</v>
      </c>
      <c r="BY38" s="25">
        <f t="shared" si="9"/>
        <v>19294542.609999999</v>
      </c>
      <c r="BZ38" s="25">
        <f t="shared" si="9"/>
        <v>0</v>
      </c>
      <c r="CA38" s="25">
        <f t="shared" si="9"/>
        <v>9760368.7400000002</v>
      </c>
      <c r="CB38" s="25">
        <f t="shared" si="9"/>
        <v>28449976.199999999</v>
      </c>
      <c r="CC38" s="25">
        <f t="shared" si="9"/>
        <v>76972471</v>
      </c>
      <c r="CD38" s="45"/>
      <c r="CE38" s="25">
        <f t="shared" si="9"/>
        <v>28359314</v>
      </c>
      <c r="CF38" s="25">
        <f t="shared" si="9"/>
        <v>25820130</v>
      </c>
      <c r="CG38" s="25">
        <f t="shared" si="9"/>
        <v>24241233</v>
      </c>
      <c r="CH38" s="25">
        <f t="shared" si="9"/>
        <v>34390330</v>
      </c>
      <c r="CI38" s="25">
        <f t="shared" si="9"/>
        <v>32643773</v>
      </c>
      <c r="CJ38" s="25">
        <f t="shared" si="9"/>
        <v>31164585</v>
      </c>
      <c r="CK38" s="25">
        <f t="shared" si="9"/>
        <v>29669090</v>
      </c>
      <c r="CL38" s="25">
        <f t="shared" si="9"/>
        <v>8924864.8200000003</v>
      </c>
      <c r="CM38" s="25">
        <f t="shared" si="9"/>
        <v>8050750.71</v>
      </c>
      <c r="CN38" s="25">
        <f t="shared" si="9"/>
        <v>389969.15</v>
      </c>
      <c r="CO38" s="25">
        <f t="shared" ref="CO38:DO38" si="10">SUM(CO34:CO37)</f>
        <v>1428433.17</v>
      </c>
      <c r="CP38" s="25">
        <f t="shared" si="10"/>
        <v>105</v>
      </c>
      <c r="CQ38" s="25">
        <f t="shared" si="10"/>
        <v>1648972.17</v>
      </c>
      <c r="CR38" s="25">
        <f t="shared" si="10"/>
        <v>7290528.4900000002</v>
      </c>
      <c r="CS38" s="25">
        <f t="shared" si="10"/>
        <v>1512571.65</v>
      </c>
      <c r="CT38" s="25">
        <f t="shared" si="10"/>
        <v>8195865.96</v>
      </c>
      <c r="CU38" s="25">
        <f t="shared" si="10"/>
        <v>4460550.2300000004</v>
      </c>
      <c r="CV38" s="25">
        <f t="shared" si="10"/>
        <v>6585727.04</v>
      </c>
      <c r="CW38" s="25">
        <f t="shared" si="10"/>
        <v>7437244.6300000008</v>
      </c>
      <c r="CX38" s="25">
        <f t="shared" si="10"/>
        <v>3762653.6</v>
      </c>
      <c r="CY38" s="25">
        <f t="shared" si="10"/>
        <v>320986.40000000002</v>
      </c>
      <c r="CZ38" s="25">
        <f t="shared" si="10"/>
        <v>6097934.0800000001</v>
      </c>
      <c r="DA38" s="25">
        <f t="shared" si="10"/>
        <v>68537976</v>
      </c>
      <c r="DB38" s="45"/>
      <c r="DC38" s="25">
        <f t="shared" si="10"/>
        <v>23590316</v>
      </c>
      <c r="DD38" s="25">
        <f t="shared" si="10"/>
        <v>21737605</v>
      </c>
      <c r="DE38" s="25">
        <f t="shared" si="10"/>
        <v>28672503</v>
      </c>
      <c r="DF38" s="25">
        <f t="shared" si="10"/>
        <v>26029920</v>
      </c>
      <c r="DG38" s="25">
        <f t="shared" si="10"/>
        <v>3967776.12</v>
      </c>
      <c r="DH38" s="25">
        <f t="shared" si="10"/>
        <v>3107495.37</v>
      </c>
      <c r="DI38" s="25">
        <f t="shared" si="10"/>
        <v>36947.850000000006</v>
      </c>
      <c r="DJ38" s="25">
        <f t="shared" si="10"/>
        <v>27682.84</v>
      </c>
      <c r="DK38" s="25">
        <f t="shared" si="10"/>
        <v>35625.46</v>
      </c>
      <c r="DL38" s="25">
        <f t="shared" si="10"/>
        <v>30332.23</v>
      </c>
      <c r="DM38" s="25">
        <f t="shared" si="10"/>
        <v>4415259.5</v>
      </c>
      <c r="DN38" s="25">
        <f t="shared" si="10"/>
        <v>219713.33999999997</v>
      </c>
      <c r="DO38" s="25">
        <f t="shared" si="10"/>
        <v>1050772.3700000001</v>
      </c>
      <c r="DP38" s="18"/>
      <c r="DQ38" s="25">
        <v>17194</v>
      </c>
      <c r="DR38" s="25">
        <v>250407</v>
      </c>
      <c r="DS38" s="25">
        <v>44845421</v>
      </c>
      <c r="DT38" s="25">
        <v>15134</v>
      </c>
      <c r="DU38" s="25">
        <v>285925.78000000003</v>
      </c>
      <c r="DV38" s="25">
        <v>8007638</v>
      </c>
      <c r="DW38" s="25">
        <v>7309157</v>
      </c>
      <c r="DX38" s="25">
        <v>8845628</v>
      </c>
      <c r="DY38" s="25">
        <v>38801</v>
      </c>
      <c r="DZ38" s="25">
        <v>7436737</v>
      </c>
      <c r="EA38" s="25">
        <v>8551398</v>
      </c>
      <c r="EB38" s="25">
        <v>97257</v>
      </c>
      <c r="EC38" s="25">
        <v>1086708</v>
      </c>
      <c r="ED38" s="25">
        <v>1200762</v>
      </c>
      <c r="EE38" s="25">
        <v>13298</v>
      </c>
      <c r="EF38" s="25">
        <v>504270</v>
      </c>
      <c r="EG38" s="25">
        <f t="shared" ref="EG38:EV38" si="11">SUM(EG34:EG37)</f>
        <v>7909146.7200000007</v>
      </c>
      <c r="EH38" s="25">
        <f t="shared" si="11"/>
        <v>15586114</v>
      </c>
      <c r="EI38" s="25">
        <f t="shared" si="11"/>
        <v>11413126</v>
      </c>
      <c r="EJ38" s="25">
        <f t="shared" si="11"/>
        <v>898660677.75</v>
      </c>
      <c r="EK38" s="25">
        <f t="shared" si="11"/>
        <v>91664392.590000004</v>
      </c>
      <c r="EL38" s="25">
        <f t="shared" si="11"/>
        <v>369259001.03000003</v>
      </c>
      <c r="EM38" s="25">
        <f t="shared" si="11"/>
        <v>135941610</v>
      </c>
      <c r="EN38" s="25">
        <f t="shared" si="11"/>
        <v>14539073.470000001</v>
      </c>
      <c r="EO38" s="25">
        <f t="shared" si="11"/>
        <v>73762422.719999999</v>
      </c>
      <c r="EP38" s="25">
        <f t="shared" si="11"/>
        <v>163878899.75</v>
      </c>
      <c r="EQ38" s="25">
        <f t="shared" si="11"/>
        <v>190255817.66</v>
      </c>
      <c r="ER38" s="25">
        <f t="shared" si="11"/>
        <v>2259.0100000000002</v>
      </c>
      <c r="ES38" s="25">
        <f t="shared" si="11"/>
        <v>19203497.920000002</v>
      </c>
      <c r="ET38" s="25">
        <f t="shared" si="11"/>
        <v>176128887.15000001</v>
      </c>
      <c r="EU38" s="25">
        <f t="shared" si="11"/>
        <v>19592155.650000002</v>
      </c>
      <c r="EV38" s="25">
        <f t="shared" si="11"/>
        <v>33151926.07</v>
      </c>
      <c r="EW38" s="2"/>
    </row>
    <row r="39" spans="1:153" ht="12" customHeight="1">
      <c r="A39" s="46" t="s">
        <v>349</v>
      </c>
      <c r="B39" s="46"/>
      <c r="C39" s="46"/>
      <c r="D39" s="46"/>
      <c r="E39" s="46"/>
      <c r="F39" s="46"/>
      <c r="G39" s="46"/>
      <c r="H39" s="4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45"/>
      <c r="AA39" s="2"/>
      <c r="AB39" s="45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45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45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</row>
    <row r="40" spans="1:153" ht="12" customHeight="1">
      <c r="A40" s="1" t="s">
        <v>350</v>
      </c>
      <c r="B40" s="19">
        <v>399</v>
      </c>
      <c r="C40" s="19">
        <v>399</v>
      </c>
      <c r="D40" s="1" t="s">
        <v>4</v>
      </c>
      <c r="E40" s="19">
        <v>399</v>
      </c>
      <c r="F40" s="19">
        <v>465</v>
      </c>
      <c r="G40" s="20">
        <v>332</v>
      </c>
      <c r="H40" s="20">
        <v>14</v>
      </c>
      <c r="I40" s="20">
        <v>0</v>
      </c>
      <c r="J40" s="20"/>
      <c r="K40" s="20"/>
      <c r="L40" s="20" t="s">
        <v>4</v>
      </c>
      <c r="M40" s="21" t="s">
        <v>4</v>
      </c>
      <c r="N40" s="19">
        <v>234</v>
      </c>
      <c r="O40" s="1" t="s">
        <v>4</v>
      </c>
      <c r="P40" s="19">
        <v>232</v>
      </c>
      <c r="Q40" s="19">
        <v>22</v>
      </c>
      <c r="R40" s="20">
        <v>197</v>
      </c>
      <c r="S40" s="20">
        <v>9</v>
      </c>
      <c r="T40" s="20">
        <v>0</v>
      </c>
      <c r="U40" s="20">
        <v>135</v>
      </c>
      <c r="V40" s="20">
        <v>5</v>
      </c>
      <c r="W40" s="20" t="s">
        <v>4</v>
      </c>
      <c r="X40" s="21" t="s">
        <v>4</v>
      </c>
      <c r="Y40" s="19">
        <v>11467591</v>
      </c>
      <c r="Z40" s="45"/>
      <c r="AA40" s="19">
        <v>10460401</v>
      </c>
      <c r="AB40" s="45"/>
      <c r="AC40" s="19">
        <v>7388</v>
      </c>
      <c r="AD40" s="22">
        <v>6326773558</v>
      </c>
      <c r="AE40" s="22">
        <v>6205148032.3400002</v>
      </c>
      <c r="AF40" s="22">
        <v>3943892920.5300002</v>
      </c>
      <c r="AG40" s="22">
        <v>2261255111.8099999</v>
      </c>
      <c r="AH40" s="22">
        <v>0</v>
      </c>
      <c r="AI40" s="22">
        <v>0</v>
      </c>
      <c r="AJ40" s="22">
        <v>121625525.66</v>
      </c>
      <c r="AK40" s="22">
        <v>6041286638.1099997</v>
      </c>
      <c r="AL40" s="22">
        <v>1876315071.53</v>
      </c>
      <c r="AM40" s="22">
        <v>5522442748.2200003</v>
      </c>
      <c r="AN40" s="22">
        <v>3571841039.29</v>
      </c>
      <c r="AO40" s="22">
        <v>1343814700.8499999</v>
      </c>
      <c r="AP40" s="22">
        <v>208560372.63</v>
      </c>
      <c r="AQ40" s="22">
        <v>584718773.42999995</v>
      </c>
      <c r="AR40" s="22">
        <v>745333221.46000004</v>
      </c>
      <c r="AS40" s="22">
        <v>295452.38</v>
      </c>
      <c r="AT40" s="22">
        <v>0</v>
      </c>
      <c r="AU40" s="22">
        <v>455999982.36000001</v>
      </c>
      <c r="AV40" s="22">
        <v>233118536.18000001</v>
      </c>
      <c r="AW40" s="22">
        <v>361518616.51999998</v>
      </c>
      <c r="AX40" s="22">
        <v>100803482.31999999</v>
      </c>
      <c r="AY40" s="22">
        <v>462322098.83999997</v>
      </c>
      <c r="AZ40" s="22">
        <v>640028799.67999995</v>
      </c>
      <c r="BA40" s="22">
        <v>394216486.66000003</v>
      </c>
      <c r="BB40" s="22">
        <v>454034323.44999999</v>
      </c>
      <c r="BC40" s="22">
        <v>363376729.48000002</v>
      </c>
      <c r="BD40" s="22">
        <v>825698828.32000005</v>
      </c>
      <c r="BE40" s="22">
        <v>1412827.41</v>
      </c>
      <c r="BF40" s="22">
        <v>766684157.22000003</v>
      </c>
      <c r="BG40" s="22">
        <v>930458759.77999997</v>
      </c>
      <c r="BH40" s="22">
        <v>140501949.78</v>
      </c>
      <c r="BI40" s="22">
        <v>954586345.53999996</v>
      </c>
      <c r="BJ40" s="22">
        <v>849266876.79999995</v>
      </c>
      <c r="BK40" s="22">
        <v>35204471.850000001</v>
      </c>
      <c r="BL40" s="22">
        <v>1839057694.1900001</v>
      </c>
      <c r="BM40" s="22">
        <v>4799</v>
      </c>
      <c r="BN40" s="22">
        <v>4752231.28</v>
      </c>
      <c r="BO40" s="22">
        <v>593430.56000000006</v>
      </c>
      <c r="BP40" s="22">
        <v>165893</v>
      </c>
      <c r="BQ40" s="22">
        <v>6297012.3399999999</v>
      </c>
      <c r="BR40" s="22">
        <v>593430.56000000006</v>
      </c>
      <c r="BS40" s="22">
        <v>0</v>
      </c>
      <c r="BT40" s="22">
        <v>5516353.8399999999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2">
        <v>0</v>
      </c>
      <c r="CA40" s="22">
        <v>0</v>
      </c>
      <c r="CB40" s="22">
        <v>0</v>
      </c>
      <c r="CC40" s="19">
        <v>11018935</v>
      </c>
      <c r="CD40" s="45"/>
      <c r="CE40" s="19">
        <v>4125953</v>
      </c>
      <c r="CF40" s="19">
        <v>3723653</v>
      </c>
      <c r="CG40" s="19">
        <v>3715846</v>
      </c>
      <c r="CH40" s="19">
        <v>4564348</v>
      </c>
      <c r="CI40" s="19">
        <v>4555797</v>
      </c>
      <c r="CJ40" s="19">
        <v>4148446</v>
      </c>
      <c r="CK40" s="19">
        <v>4144798</v>
      </c>
      <c r="CL40" s="22">
        <v>864153.69</v>
      </c>
      <c r="CM40" s="22">
        <v>826037.89</v>
      </c>
      <c r="CN40" s="22">
        <v>3739.99</v>
      </c>
      <c r="CO40" s="22">
        <v>3410.64</v>
      </c>
      <c r="CP40" s="22">
        <v>0</v>
      </c>
      <c r="CQ40" s="22">
        <v>0</v>
      </c>
      <c r="CR40" s="22">
        <v>641984.18000000005</v>
      </c>
      <c r="CS40" s="22">
        <v>218024.32000000001</v>
      </c>
      <c r="CT40" s="22">
        <v>832860.32</v>
      </c>
      <c r="CU40" s="22">
        <v>555689.04</v>
      </c>
      <c r="CV40" s="22">
        <v>560851.57999999996</v>
      </c>
      <c r="CW40" s="22">
        <v>589164.87</v>
      </c>
      <c r="CX40" s="22">
        <v>476658.52</v>
      </c>
      <c r="CY40" s="22">
        <v>72906.600000000006</v>
      </c>
      <c r="CZ40" s="22">
        <v>717547.4</v>
      </c>
      <c r="DA40" s="19">
        <v>8746125</v>
      </c>
      <c r="DB40" s="45"/>
      <c r="DC40" s="19">
        <v>2869694</v>
      </c>
      <c r="DD40" s="19">
        <v>2621182</v>
      </c>
      <c r="DE40" s="19">
        <v>3488761</v>
      </c>
      <c r="DF40" s="19">
        <v>3159952</v>
      </c>
      <c r="DG40" s="22">
        <v>420137.22</v>
      </c>
      <c r="DH40" s="22">
        <v>419592.98</v>
      </c>
      <c r="DI40" s="22">
        <v>0</v>
      </c>
      <c r="DJ40" s="22">
        <v>0</v>
      </c>
      <c r="DK40" s="22">
        <v>106.59</v>
      </c>
      <c r="DL40" s="22">
        <v>100.79</v>
      </c>
      <c r="DM40" s="22">
        <v>439969.57</v>
      </c>
      <c r="DN40" s="22">
        <v>42237.01</v>
      </c>
      <c r="DO40" s="22">
        <v>101727.24</v>
      </c>
      <c r="DP40" s="1"/>
      <c r="DQ40" s="19">
        <v>356</v>
      </c>
      <c r="DR40" s="19">
        <v>3559</v>
      </c>
      <c r="DS40" s="19">
        <v>254865</v>
      </c>
      <c r="DT40" s="19">
        <v>5410</v>
      </c>
      <c r="DU40" s="22">
        <v>6490</v>
      </c>
      <c r="DV40" s="19">
        <v>1354701</v>
      </c>
      <c r="DW40" s="19">
        <v>412675</v>
      </c>
      <c r="DX40" s="19">
        <v>432458</v>
      </c>
      <c r="DY40" s="19">
        <v>1916</v>
      </c>
      <c r="DZ40" s="19">
        <v>404371</v>
      </c>
      <c r="EA40" s="19">
        <v>418330</v>
      </c>
      <c r="EB40" s="19">
        <v>457</v>
      </c>
      <c r="EC40" s="19">
        <v>188389</v>
      </c>
      <c r="ED40" s="19">
        <v>189283</v>
      </c>
      <c r="EE40" s="19">
        <v>714</v>
      </c>
      <c r="EF40" s="19">
        <v>6770</v>
      </c>
      <c r="EG40" s="22">
        <v>28837.9</v>
      </c>
      <c r="EH40" s="19">
        <v>472258</v>
      </c>
      <c r="EI40" s="19">
        <v>431642</v>
      </c>
      <c r="EJ40" s="22">
        <v>25277808.32</v>
      </c>
      <c r="EK40" s="22">
        <v>114784627.53</v>
      </c>
      <c r="EL40" s="22">
        <v>451809627.39999998</v>
      </c>
      <c r="EM40" s="22">
        <v>439582221.98000002</v>
      </c>
      <c r="EN40" s="22">
        <v>-21332963.649999999</v>
      </c>
      <c r="EO40" s="22">
        <v>55137026.020000003</v>
      </c>
      <c r="EP40" s="22">
        <v>-42909620.600000001</v>
      </c>
      <c r="EQ40" s="22">
        <v>96411752.599999994</v>
      </c>
      <c r="ER40" s="22">
        <v>0</v>
      </c>
      <c r="ES40" s="22">
        <v>27319291.489999998</v>
      </c>
      <c r="ET40" s="22">
        <v>324951381.87</v>
      </c>
      <c r="EU40" s="22">
        <v>-9078687.5600000005</v>
      </c>
      <c r="EV40" s="22">
        <v>39573567.579999998</v>
      </c>
      <c r="EW40" s="2"/>
    </row>
    <row r="41" spans="1:153" ht="12" customHeight="1">
      <c r="A41" s="1" t="s">
        <v>351</v>
      </c>
      <c r="B41" s="19">
        <v>485</v>
      </c>
      <c r="C41" s="19">
        <v>485</v>
      </c>
      <c r="D41" s="1" t="s">
        <v>4</v>
      </c>
      <c r="E41" s="19">
        <v>485</v>
      </c>
      <c r="F41" s="19">
        <v>1965</v>
      </c>
      <c r="G41" s="20">
        <v>311</v>
      </c>
      <c r="H41" s="20">
        <v>11</v>
      </c>
      <c r="I41" s="20">
        <v>3</v>
      </c>
      <c r="J41" s="20">
        <v>1</v>
      </c>
      <c r="K41" s="20"/>
      <c r="L41" s="20" t="s">
        <v>4</v>
      </c>
      <c r="M41" s="21" t="s">
        <v>4</v>
      </c>
      <c r="N41" s="19">
        <v>128</v>
      </c>
      <c r="O41" s="1" t="s">
        <v>4</v>
      </c>
      <c r="P41" s="19">
        <v>126</v>
      </c>
      <c r="Q41" s="19">
        <v>45</v>
      </c>
      <c r="R41" s="20">
        <v>61</v>
      </c>
      <c r="S41" s="20">
        <v>0</v>
      </c>
      <c r="T41" s="20">
        <v>0</v>
      </c>
      <c r="U41" s="20">
        <v>244</v>
      </c>
      <c r="V41" s="20">
        <v>4</v>
      </c>
      <c r="W41" s="20" t="s">
        <v>4</v>
      </c>
      <c r="X41" s="21" t="s">
        <v>4</v>
      </c>
      <c r="Y41" s="19">
        <v>10835867</v>
      </c>
      <c r="Z41" s="45"/>
      <c r="AA41" s="19">
        <v>7833231</v>
      </c>
      <c r="AB41" s="45"/>
      <c r="AC41" s="19">
        <v>9961</v>
      </c>
      <c r="AD41" s="22">
        <v>5739048829.7700005</v>
      </c>
      <c r="AE41" s="22">
        <v>5508523863.79</v>
      </c>
      <c r="AF41" s="22">
        <v>4801452440.2299995</v>
      </c>
      <c r="AG41" s="22">
        <v>704779149.64999998</v>
      </c>
      <c r="AH41" s="22">
        <v>2291772.91</v>
      </c>
      <c r="AI41" s="22">
        <v>501</v>
      </c>
      <c r="AJ41" s="22">
        <v>230524964.75</v>
      </c>
      <c r="AK41" s="22">
        <v>5435833266.7399998</v>
      </c>
      <c r="AL41" s="22">
        <v>1100417799.47</v>
      </c>
      <c r="AM41" s="22">
        <v>5036357034.7399998</v>
      </c>
      <c r="AN41" s="22">
        <v>4345441318.8999996</v>
      </c>
      <c r="AO41" s="22">
        <v>1977675266.3</v>
      </c>
      <c r="AP41" s="22">
        <v>185961546.71000001</v>
      </c>
      <c r="AQ41" s="22">
        <v>531883749.06999999</v>
      </c>
      <c r="AR41" s="22">
        <v>844523438.09000003</v>
      </c>
      <c r="AS41" s="22">
        <v>2402787.09</v>
      </c>
      <c r="AT41" s="22">
        <v>108670.43</v>
      </c>
      <c r="AU41" s="22">
        <v>347094631.13</v>
      </c>
      <c r="AV41" s="22">
        <v>455791229.07999998</v>
      </c>
      <c r="AW41" s="22">
        <v>113816653.43000001</v>
      </c>
      <c r="AX41" s="22">
        <v>42587999.600000001</v>
      </c>
      <c r="AY41" s="22">
        <v>156404653.03</v>
      </c>
      <c r="AZ41" s="22">
        <v>255093113.69999999</v>
      </c>
      <c r="BA41" s="22">
        <v>62852308.219999999</v>
      </c>
      <c r="BB41" s="22">
        <v>216565640.16</v>
      </c>
      <c r="BC41" s="22">
        <v>123375656.22</v>
      </c>
      <c r="BD41" s="22">
        <v>279780309.25</v>
      </c>
      <c r="BE41" s="22">
        <v>28974682.629999999</v>
      </c>
      <c r="BF41" s="22">
        <v>433812074.17000002</v>
      </c>
      <c r="BG41" s="22">
        <v>313076794.35000002</v>
      </c>
      <c r="BH41" s="22">
        <v>117121199.93000001</v>
      </c>
      <c r="BI41" s="22">
        <v>742510567.16999996</v>
      </c>
      <c r="BJ41" s="22">
        <v>131013359.73</v>
      </c>
      <c r="BK41" s="22">
        <v>19460824.18</v>
      </c>
      <c r="BL41" s="22">
        <v>892984751.08000004</v>
      </c>
      <c r="BM41" s="22">
        <v>4657675.84</v>
      </c>
      <c r="BN41" s="22">
        <v>12720175.68</v>
      </c>
      <c r="BO41" s="22">
        <v>3250221.4</v>
      </c>
      <c r="BP41" s="22">
        <v>1134814</v>
      </c>
      <c r="BQ41" s="22">
        <v>18946344.170000002</v>
      </c>
      <c r="BR41" s="22">
        <v>368030.21</v>
      </c>
      <c r="BS41" s="22">
        <v>2245482.54</v>
      </c>
      <c r="BT41" s="22">
        <v>21544856.920000002</v>
      </c>
      <c r="BU41" s="22">
        <v>73351</v>
      </c>
      <c r="BV41" s="22">
        <v>613343.59</v>
      </c>
      <c r="BW41" s="22">
        <v>2000</v>
      </c>
      <c r="BX41" s="22">
        <v>10000</v>
      </c>
      <c r="BY41" s="22">
        <v>596973.59</v>
      </c>
      <c r="BZ41" s="22">
        <v>10000</v>
      </c>
      <c r="CA41" s="22">
        <v>7000</v>
      </c>
      <c r="CB41" s="22">
        <v>543973.59</v>
      </c>
      <c r="CC41" s="19">
        <v>9548609</v>
      </c>
      <c r="CD41" s="45"/>
      <c r="CE41" s="19">
        <v>3312848</v>
      </c>
      <c r="CF41" s="19">
        <v>3012436</v>
      </c>
      <c r="CG41" s="19">
        <v>2938667</v>
      </c>
      <c r="CH41" s="19">
        <v>4512086</v>
      </c>
      <c r="CI41" s="19">
        <v>4433604</v>
      </c>
      <c r="CJ41" s="19">
        <v>3971250</v>
      </c>
      <c r="CK41" s="19">
        <v>3911340</v>
      </c>
      <c r="CL41" s="22">
        <v>1006054.82</v>
      </c>
      <c r="CM41" s="22">
        <v>743067.48</v>
      </c>
      <c r="CN41" s="22">
        <v>76793.570000000007</v>
      </c>
      <c r="CO41" s="22">
        <v>802.39</v>
      </c>
      <c r="CP41" s="22">
        <v>2150</v>
      </c>
      <c r="CQ41" s="22">
        <v>1627.15</v>
      </c>
      <c r="CR41" s="22">
        <v>868073.27</v>
      </c>
      <c r="CS41" s="22">
        <v>133155.31</v>
      </c>
      <c r="CT41" s="22">
        <v>961884.8</v>
      </c>
      <c r="CU41" s="22">
        <v>524206.47</v>
      </c>
      <c r="CV41" s="22">
        <v>562731.39</v>
      </c>
      <c r="CW41" s="22">
        <v>539412.73</v>
      </c>
      <c r="CX41" s="22">
        <v>432108.94</v>
      </c>
      <c r="CY41" s="22">
        <v>53485.18</v>
      </c>
      <c r="CZ41" s="22">
        <v>650886.02</v>
      </c>
      <c r="DA41" s="19">
        <v>3898260</v>
      </c>
      <c r="DB41" s="45"/>
      <c r="DC41" s="19">
        <v>988904</v>
      </c>
      <c r="DD41" s="19">
        <v>946037</v>
      </c>
      <c r="DE41" s="19">
        <v>1710967</v>
      </c>
      <c r="DF41" s="19">
        <v>1501562</v>
      </c>
      <c r="DG41" s="22">
        <v>199870.38</v>
      </c>
      <c r="DH41" s="22">
        <v>152663.10999999999</v>
      </c>
      <c r="DI41" s="22">
        <v>365.79</v>
      </c>
      <c r="DJ41" s="22">
        <v>0.79</v>
      </c>
      <c r="DK41" s="22">
        <v>4073.52</v>
      </c>
      <c r="DL41" s="22">
        <v>3996.51</v>
      </c>
      <c r="DM41" s="22">
        <v>154006.54</v>
      </c>
      <c r="DN41" s="22">
        <v>12359.17</v>
      </c>
      <c r="DO41" s="22">
        <v>53181</v>
      </c>
      <c r="DP41" s="1"/>
      <c r="DQ41" s="19">
        <v>7549</v>
      </c>
      <c r="DR41" s="19">
        <v>74134</v>
      </c>
      <c r="DS41" s="19">
        <v>21241538</v>
      </c>
      <c r="DT41" s="19">
        <v>1589</v>
      </c>
      <c r="DU41" s="22">
        <v>13741.52</v>
      </c>
      <c r="DV41" s="19">
        <v>711056</v>
      </c>
      <c r="DW41" s="19">
        <v>1043602</v>
      </c>
      <c r="DX41" s="19">
        <v>1165151</v>
      </c>
      <c r="DY41" s="19">
        <v>19972</v>
      </c>
      <c r="DZ41" s="19">
        <v>1037433</v>
      </c>
      <c r="EA41" s="19">
        <v>1182994</v>
      </c>
      <c r="EB41" s="19">
        <v>25079</v>
      </c>
      <c r="EC41" s="19">
        <v>196352</v>
      </c>
      <c r="ED41" s="19">
        <v>203799</v>
      </c>
      <c r="EE41" s="19">
        <v>2767</v>
      </c>
      <c r="EF41" s="19">
        <v>27336</v>
      </c>
      <c r="EG41" s="22">
        <v>350743.24</v>
      </c>
      <c r="EH41" s="19">
        <v>512781</v>
      </c>
      <c r="EI41" s="19">
        <v>458382</v>
      </c>
      <c r="EJ41" s="22">
        <v>18568547.050000001</v>
      </c>
      <c r="EK41" s="22">
        <v>2940405.7599999998</v>
      </c>
      <c r="EL41" s="22">
        <v>9340021.0999999996</v>
      </c>
      <c r="EM41" s="22">
        <v>2748136.17</v>
      </c>
      <c r="EN41" s="22">
        <v>807287.6</v>
      </c>
      <c r="EO41" s="22">
        <v>2198907.37</v>
      </c>
      <c r="EP41" s="22">
        <v>4389316.22</v>
      </c>
      <c r="EQ41" s="22">
        <v>5034977.68</v>
      </c>
      <c r="ER41" s="22">
        <v>2</v>
      </c>
      <c r="ES41" s="22">
        <v>962731.87</v>
      </c>
      <c r="ET41" s="22">
        <v>2977569.66</v>
      </c>
      <c r="EU41" s="22">
        <v>1121984.9099999999</v>
      </c>
      <c r="EV41" s="22">
        <v>1172200.5900000001</v>
      </c>
      <c r="EW41" s="2"/>
    </row>
    <row r="42" spans="1:153" ht="12" customHeight="1">
      <c r="A42" s="1" t="s">
        <v>352</v>
      </c>
      <c r="B42" s="19">
        <v>294</v>
      </c>
      <c r="C42" s="19">
        <v>294</v>
      </c>
      <c r="D42" s="1" t="s">
        <v>4</v>
      </c>
      <c r="E42" s="19">
        <v>293</v>
      </c>
      <c r="F42" s="19">
        <v>470</v>
      </c>
      <c r="G42" s="20">
        <v>194</v>
      </c>
      <c r="H42" s="20">
        <v>15</v>
      </c>
      <c r="I42" s="20">
        <v>4</v>
      </c>
      <c r="J42" s="20">
        <v>0</v>
      </c>
      <c r="K42" s="20">
        <v>0</v>
      </c>
      <c r="L42" s="20" t="s">
        <v>4</v>
      </c>
      <c r="M42" s="21" t="s">
        <v>4</v>
      </c>
      <c r="N42" s="19">
        <v>82</v>
      </c>
      <c r="O42" s="1" t="s">
        <v>4</v>
      </c>
      <c r="P42" s="19">
        <v>81</v>
      </c>
      <c r="Q42" s="19">
        <v>40</v>
      </c>
      <c r="R42" s="20">
        <v>38</v>
      </c>
      <c r="S42" s="20">
        <v>2</v>
      </c>
      <c r="T42" s="20">
        <v>2</v>
      </c>
      <c r="U42" s="20">
        <v>150</v>
      </c>
      <c r="V42" s="20">
        <v>13</v>
      </c>
      <c r="W42" s="20" t="s">
        <v>4</v>
      </c>
      <c r="X42" s="21" t="s">
        <v>4</v>
      </c>
      <c r="Y42" s="19">
        <v>7615782</v>
      </c>
      <c r="Z42" s="45"/>
      <c r="AA42" s="19">
        <v>5158655</v>
      </c>
      <c r="AB42" s="45"/>
      <c r="AC42" s="19">
        <v>6503</v>
      </c>
      <c r="AD42" s="22">
        <v>3434202128.25</v>
      </c>
      <c r="AE42" s="22">
        <v>3268406164.5300002</v>
      </c>
      <c r="AF42" s="22">
        <v>2557851165.9400001</v>
      </c>
      <c r="AG42" s="22">
        <v>646158950.70000005</v>
      </c>
      <c r="AH42" s="22">
        <v>64024543.210000001</v>
      </c>
      <c r="AI42" s="22">
        <v>371504.68</v>
      </c>
      <c r="AJ42" s="22">
        <v>165795963.71000001</v>
      </c>
      <c r="AK42" s="22">
        <v>3336095397.3299999</v>
      </c>
      <c r="AL42" s="22">
        <v>650708028.50999999</v>
      </c>
      <c r="AM42" s="22">
        <v>2997874531.7199998</v>
      </c>
      <c r="AN42" s="22">
        <v>2381972380.3299999</v>
      </c>
      <c r="AO42" s="22">
        <v>810618954.38999999</v>
      </c>
      <c r="AP42" s="22">
        <v>101877010.84</v>
      </c>
      <c r="AQ42" s="22">
        <v>288343564.06999999</v>
      </c>
      <c r="AR42" s="22">
        <v>555985797.58000004</v>
      </c>
      <c r="AS42" s="22">
        <v>58622361.399999999</v>
      </c>
      <c r="AT42" s="22">
        <v>365230.25</v>
      </c>
      <c r="AU42" s="22">
        <v>259542597.63999999</v>
      </c>
      <c r="AV42" s="22">
        <v>306616864.16000003</v>
      </c>
      <c r="AW42" s="22">
        <v>247319960.58000001</v>
      </c>
      <c r="AX42" s="22">
        <v>-21207459.77</v>
      </c>
      <c r="AY42" s="22">
        <v>226112500.81</v>
      </c>
      <c r="AZ42" s="22">
        <v>227985385.43000001</v>
      </c>
      <c r="BA42" s="22">
        <v>79484823.049999997</v>
      </c>
      <c r="BB42" s="22">
        <v>82319442.099999994</v>
      </c>
      <c r="BC42" s="22">
        <v>163089022.58000001</v>
      </c>
      <c r="BD42" s="22">
        <v>389201523.38999999</v>
      </c>
      <c r="BE42" s="22">
        <v>927051.2</v>
      </c>
      <c r="BF42" s="22">
        <v>489685421.30000001</v>
      </c>
      <c r="BG42" s="22">
        <v>516137053.11000001</v>
      </c>
      <c r="BH42" s="22">
        <v>56252949.369999997</v>
      </c>
      <c r="BI42" s="22">
        <v>691089872.87</v>
      </c>
      <c r="BJ42" s="22">
        <v>349634526.04000002</v>
      </c>
      <c r="BK42" s="22">
        <v>22278076.07</v>
      </c>
      <c r="BL42" s="22">
        <v>1063002474.98</v>
      </c>
      <c r="BM42" s="22">
        <v>829918.93</v>
      </c>
      <c r="BN42" s="22">
        <v>19889004.789999999</v>
      </c>
      <c r="BO42" s="22">
        <v>17490222.100000001</v>
      </c>
      <c r="BP42" s="22">
        <v>1000013.91</v>
      </c>
      <c r="BQ42" s="22">
        <v>19365139.649999999</v>
      </c>
      <c r="BR42" s="22">
        <v>1500000</v>
      </c>
      <c r="BS42" s="22">
        <v>18371845.079999998</v>
      </c>
      <c r="BT42" s="22">
        <v>39209159.729999997</v>
      </c>
      <c r="BU42" s="22">
        <v>0</v>
      </c>
      <c r="BV42" s="22">
        <v>2984212.98</v>
      </c>
      <c r="BW42" s="22">
        <v>0</v>
      </c>
      <c r="BX42" s="22">
        <v>108990</v>
      </c>
      <c r="BY42" s="22">
        <v>2225974.33</v>
      </c>
      <c r="BZ42" s="22">
        <v>0</v>
      </c>
      <c r="CA42" s="22">
        <v>300000</v>
      </c>
      <c r="CB42" s="22">
        <v>2525974.33</v>
      </c>
      <c r="CC42" s="19">
        <v>6820974</v>
      </c>
      <c r="CD42" s="45"/>
      <c r="CE42" s="19">
        <v>2112338</v>
      </c>
      <c r="CF42" s="19">
        <v>1983078</v>
      </c>
      <c r="CG42" s="19">
        <v>1966191</v>
      </c>
      <c r="CH42" s="19">
        <v>2904903</v>
      </c>
      <c r="CI42" s="19">
        <v>2884501</v>
      </c>
      <c r="CJ42" s="19">
        <v>2589116</v>
      </c>
      <c r="CK42" s="19">
        <v>2507681</v>
      </c>
      <c r="CL42" s="22">
        <v>623995.17000000004</v>
      </c>
      <c r="CM42" s="22">
        <v>613703.75</v>
      </c>
      <c r="CN42" s="22">
        <v>12910.01</v>
      </c>
      <c r="CO42" s="22">
        <v>41486.730000000003</v>
      </c>
      <c r="CP42" s="22">
        <v>561</v>
      </c>
      <c r="CQ42" s="22">
        <v>41282.080000000002</v>
      </c>
      <c r="CR42" s="22">
        <v>594816.15</v>
      </c>
      <c r="CS42" s="22">
        <v>26497.47</v>
      </c>
      <c r="CT42" s="22">
        <v>626669.68999999994</v>
      </c>
      <c r="CU42" s="22">
        <v>367664.17</v>
      </c>
      <c r="CV42" s="22">
        <v>426281.77</v>
      </c>
      <c r="CW42" s="22">
        <v>422731.22</v>
      </c>
      <c r="CX42" s="22">
        <v>300506.28999999998</v>
      </c>
      <c r="CY42" s="22">
        <v>38874.25</v>
      </c>
      <c r="CZ42" s="22">
        <v>350713.82</v>
      </c>
      <c r="DA42" s="19">
        <v>2213019</v>
      </c>
      <c r="DB42" s="45"/>
      <c r="DC42" s="19">
        <v>449948</v>
      </c>
      <c r="DD42" s="19">
        <v>428514</v>
      </c>
      <c r="DE42" s="19">
        <v>907975</v>
      </c>
      <c r="DF42" s="19">
        <v>787847</v>
      </c>
      <c r="DG42" s="22">
        <v>121523.33</v>
      </c>
      <c r="DH42" s="22">
        <v>115753.27</v>
      </c>
      <c r="DI42" s="22">
        <v>65.290000000000006</v>
      </c>
      <c r="DJ42" s="22">
        <v>0</v>
      </c>
      <c r="DK42" s="22">
        <v>23.63</v>
      </c>
      <c r="DL42" s="22">
        <v>23.63</v>
      </c>
      <c r="DM42" s="22">
        <v>100982.07</v>
      </c>
      <c r="DN42" s="22">
        <v>8487.58</v>
      </c>
      <c r="DO42" s="22">
        <v>66388.759999999995</v>
      </c>
      <c r="DP42" s="1"/>
      <c r="DQ42" s="19">
        <v>1263</v>
      </c>
      <c r="DR42" s="19">
        <v>13120</v>
      </c>
      <c r="DS42" s="19">
        <v>754204</v>
      </c>
      <c r="DT42" s="19">
        <v>1109</v>
      </c>
      <c r="DU42" s="22">
        <v>10304.98</v>
      </c>
      <c r="DV42" s="19">
        <v>130283</v>
      </c>
      <c r="DW42" s="19">
        <v>986681</v>
      </c>
      <c r="DX42" s="19">
        <v>1243824</v>
      </c>
      <c r="DY42" s="19">
        <v>7282</v>
      </c>
      <c r="DZ42" s="19">
        <v>989179</v>
      </c>
      <c r="EA42" s="19">
        <v>1235356</v>
      </c>
      <c r="EB42" s="19">
        <v>9821</v>
      </c>
      <c r="EC42" s="19">
        <v>124011</v>
      </c>
      <c r="ED42" s="19">
        <v>136753</v>
      </c>
      <c r="EE42" s="19">
        <v>2051</v>
      </c>
      <c r="EF42" s="19">
        <v>6935</v>
      </c>
      <c r="EG42" s="22">
        <v>16757.46</v>
      </c>
      <c r="EH42" s="19">
        <v>2370660</v>
      </c>
      <c r="EI42" s="19">
        <v>2113963</v>
      </c>
      <c r="EJ42" s="22">
        <v>118332480.37</v>
      </c>
      <c r="EK42" s="22">
        <v>877391.5</v>
      </c>
      <c r="EL42" s="22">
        <v>6673853.9800000004</v>
      </c>
      <c r="EM42" s="22">
        <v>2737641.04</v>
      </c>
      <c r="EN42" s="22">
        <v>250804.24</v>
      </c>
      <c r="EO42" s="22">
        <v>1057235.77</v>
      </c>
      <c r="EP42" s="22">
        <v>2883690.92</v>
      </c>
      <c r="EQ42" s="22">
        <v>2374960.39</v>
      </c>
      <c r="ER42" s="22">
        <v>18266</v>
      </c>
      <c r="ES42" s="22">
        <v>491724.08</v>
      </c>
      <c r="ET42" s="22">
        <v>499122.59</v>
      </c>
      <c r="EU42" s="22">
        <v>454018.21</v>
      </c>
      <c r="EV42" s="22">
        <v>699645.06</v>
      </c>
      <c r="EW42" s="2"/>
    </row>
    <row r="43" spans="1:153" ht="12" customHeight="1">
      <c r="A43" s="23" t="s">
        <v>333</v>
      </c>
      <c r="B43" s="24">
        <v>1177</v>
      </c>
      <c r="C43" s="24">
        <v>1177</v>
      </c>
      <c r="D43" s="18" t="s">
        <v>4</v>
      </c>
      <c r="E43" s="24">
        <v>1177</v>
      </c>
      <c r="F43" s="25">
        <f>SUM(F40:F42)</f>
        <v>2900</v>
      </c>
      <c r="G43" s="24">
        <v>836</v>
      </c>
      <c r="H43" s="24">
        <v>40</v>
      </c>
      <c r="I43" s="24">
        <v>7</v>
      </c>
      <c r="J43" s="24">
        <v>1</v>
      </c>
      <c r="K43" s="24">
        <v>0</v>
      </c>
      <c r="L43" s="24" t="s">
        <v>4</v>
      </c>
      <c r="M43" s="26" t="s">
        <v>4</v>
      </c>
      <c r="N43" s="24">
        <v>444</v>
      </c>
      <c r="O43" s="18" t="s">
        <v>4</v>
      </c>
      <c r="P43" s="24">
        <v>439</v>
      </c>
      <c r="Q43" s="25">
        <f>SUM(Q40:Q42)</f>
        <v>107</v>
      </c>
      <c r="R43" s="24">
        <v>296</v>
      </c>
      <c r="S43" s="24">
        <v>11</v>
      </c>
      <c r="T43" s="24">
        <v>2</v>
      </c>
      <c r="U43" s="24">
        <v>529</v>
      </c>
      <c r="V43" s="24">
        <v>22</v>
      </c>
      <c r="W43" s="24" t="s">
        <v>4</v>
      </c>
      <c r="X43" s="26" t="s">
        <v>4</v>
      </c>
      <c r="Y43" s="24">
        <v>29886270</v>
      </c>
      <c r="Z43" s="45"/>
      <c r="AA43" s="24">
        <v>23452287</v>
      </c>
      <c r="AB43" s="45"/>
      <c r="AC43" s="25">
        <f t="shared" ref="AC43:BH43" si="12">SUM(AC40:AC42)</f>
        <v>23852</v>
      </c>
      <c r="AD43" s="25">
        <f t="shared" si="12"/>
        <v>15500024516.02</v>
      </c>
      <c r="AE43" s="25">
        <f t="shared" si="12"/>
        <v>14982078060.660002</v>
      </c>
      <c r="AF43" s="25">
        <f t="shared" si="12"/>
        <v>11303196526.700001</v>
      </c>
      <c r="AG43" s="25">
        <f t="shared" si="12"/>
        <v>3612193212.1599998</v>
      </c>
      <c r="AH43" s="25">
        <f t="shared" si="12"/>
        <v>66316316.120000005</v>
      </c>
      <c r="AI43" s="25">
        <f t="shared" si="12"/>
        <v>372005.68</v>
      </c>
      <c r="AJ43" s="25">
        <f t="shared" si="12"/>
        <v>517946454.12</v>
      </c>
      <c r="AK43" s="25">
        <f t="shared" si="12"/>
        <v>14813215302.179998</v>
      </c>
      <c r="AL43" s="25">
        <f t="shared" si="12"/>
        <v>3627440899.5100002</v>
      </c>
      <c r="AM43" s="25">
        <f t="shared" si="12"/>
        <v>13556674314.679998</v>
      </c>
      <c r="AN43" s="25">
        <f t="shared" si="12"/>
        <v>10299254738.52</v>
      </c>
      <c r="AO43" s="25">
        <f t="shared" si="12"/>
        <v>4132108921.5399995</v>
      </c>
      <c r="AP43" s="25">
        <f t="shared" si="12"/>
        <v>496398930.18000007</v>
      </c>
      <c r="AQ43" s="25">
        <f t="shared" si="12"/>
        <v>1404946086.5699999</v>
      </c>
      <c r="AR43" s="25">
        <f t="shared" si="12"/>
        <v>2145842457.1300001</v>
      </c>
      <c r="AS43" s="25">
        <f t="shared" si="12"/>
        <v>61320600.869999997</v>
      </c>
      <c r="AT43" s="25">
        <f t="shared" si="12"/>
        <v>473900.68</v>
      </c>
      <c r="AU43" s="25">
        <f t="shared" si="12"/>
        <v>1062637211.13</v>
      </c>
      <c r="AV43" s="25">
        <f t="shared" si="12"/>
        <v>995526629.42000008</v>
      </c>
      <c r="AW43" s="25">
        <f t="shared" si="12"/>
        <v>722655230.52999997</v>
      </c>
      <c r="AX43" s="25">
        <f t="shared" si="12"/>
        <v>122184022.14999999</v>
      </c>
      <c r="AY43" s="25">
        <f t="shared" si="12"/>
        <v>844839252.68000007</v>
      </c>
      <c r="AZ43" s="25">
        <f t="shared" si="12"/>
        <v>1123107298.8099999</v>
      </c>
      <c r="BA43" s="25">
        <f t="shared" si="12"/>
        <v>536553617.93000001</v>
      </c>
      <c r="BB43" s="25">
        <f t="shared" si="12"/>
        <v>752919405.71000004</v>
      </c>
      <c r="BC43" s="25">
        <f t="shared" si="12"/>
        <v>649841408.28000009</v>
      </c>
      <c r="BD43" s="25">
        <f t="shared" si="12"/>
        <v>1494680660.96</v>
      </c>
      <c r="BE43" s="25">
        <f t="shared" si="12"/>
        <v>31314561.239999998</v>
      </c>
      <c r="BF43" s="25">
        <f t="shared" si="12"/>
        <v>1690181652.6900001</v>
      </c>
      <c r="BG43" s="25">
        <f t="shared" si="12"/>
        <v>1759672607.2400002</v>
      </c>
      <c r="BH43" s="25">
        <f t="shared" si="12"/>
        <v>313876099.07999998</v>
      </c>
      <c r="BI43" s="25">
        <f t="shared" ref="BI43:CN43" si="13">SUM(BI40:BI42)</f>
        <v>2388186785.5799999</v>
      </c>
      <c r="BJ43" s="25">
        <f t="shared" si="13"/>
        <v>1329914762.5699999</v>
      </c>
      <c r="BK43" s="25">
        <f t="shared" si="13"/>
        <v>76943372.099999994</v>
      </c>
      <c r="BL43" s="25">
        <f t="shared" si="13"/>
        <v>3795044920.25</v>
      </c>
      <c r="BM43" s="25">
        <f t="shared" si="13"/>
        <v>5492393.7699999996</v>
      </c>
      <c r="BN43" s="25">
        <f t="shared" si="13"/>
        <v>37361411.75</v>
      </c>
      <c r="BO43" s="25">
        <f t="shared" si="13"/>
        <v>21333874.060000002</v>
      </c>
      <c r="BP43" s="25">
        <f t="shared" si="13"/>
        <v>2300720.91</v>
      </c>
      <c r="BQ43" s="25">
        <f t="shared" si="13"/>
        <v>44608496.159999996</v>
      </c>
      <c r="BR43" s="25">
        <f t="shared" si="13"/>
        <v>2461460.77</v>
      </c>
      <c r="BS43" s="25">
        <f t="shared" si="13"/>
        <v>20617327.619999997</v>
      </c>
      <c r="BT43" s="25">
        <f t="shared" si="13"/>
        <v>66270370.489999995</v>
      </c>
      <c r="BU43" s="25">
        <f t="shared" si="13"/>
        <v>73351</v>
      </c>
      <c r="BV43" s="25">
        <f t="shared" si="13"/>
        <v>3597556.57</v>
      </c>
      <c r="BW43" s="25">
        <f t="shared" si="13"/>
        <v>2000</v>
      </c>
      <c r="BX43" s="25">
        <f t="shared" si="13"/>
        <v>118990</v>
      </c>
      <c r="BY43" s="25">
        <f t="shared" si="13"/>
        <v>2822947.92</v>
      </c>
      <c r="BZ43" s="25">
        <f t="shared" si="13"/>
        <v>10000</v>
      </c>
      <c r="CA43" s="25">
        <f t="shared" si="13"/>
        <v>307000</v>
      </c>
      <c r="CB43" s="25">
        <f t="shared" si="13"/>
        <v>3069947.92</v>
      </c>
      <c r="CC43" s="25">
        <f t="shared" si="13"/>
        <v>27388518</v>
      </c>
      <c r="CD43" s="45"/>
      <c r="CE43" s="25">
        <f t="shared" si="13"/>
        <v>9551139</v>
      </c>
      <c r="CF43" s="25">
        <f t="shared" si="13"/>
        <v>8719167</v>
      </c>
      <c r="CG43" s="25">
        <f t="shared" si="13"/>
        <v>8620704</v>
      </c>
      <c r="CH43" s="25">
        <f t="shared" si="13"/>
        <v>11981337</v>
      </c>
      <c r="CI43" s="25">
        <f t="shared" si="13"/>
        <v>11873902</v>
      </c>
      <c r="CJ43" s="25">
        <f t="shared" si="13"/>
        <v>10708812</v>
      </c>
      <c r="CK43" s="25">
        <f t="shared" si="13"/>
        <v>10563819</v>
      </c>
      <c r="CL43" s="25">
        <f t="shared" si="13"/>
        <v>2494203.6799999997</v>
      </c>
      <c r="CM43" s="25">
        <f t="shared" si="13"/>
        <v>2182809.12</v>
      </c>
      <c r="CN43" s="25">
        <f t="shared" si="13"/>
        <v>93443.57</v>
      </c>
      <c r="CO43" s="25">
        <f t="shared" ref="CO43:DO43" si="14">SUM(CO40:CO42)</f>
        <v>45699.76</v>
      </c>
      <c r="CP43" s="25">
        <f t="shared" si="14"/>
        <v>2711</v>
      </c>
      <c r="CQ43" s="25">
        <f t="shared" si="14"/>
        <v>42909.23</v>
      </c>
      <c r="CR43" s="25">
        <f t="shared" si="14"/>
        <v>2104873.6</v>
      </c>
      <c r="CS43" s="25">
        <f t="shared" si="14"/>
        <v>377677.1</v>
      </c>
      <c r="CT43" s="25">
        <f t="shared" si="14"/>
        <v>2421414.81</v>
      </c>
      <c r="CU43" s="25">
        <f t="shared" si="14"/>
        <v>1447559.68</v>
      </c>
      <c r="CV43" s="25">
        <f t="shared" si="14"/>
        <v>1549864.74</v>
      </c>
      <c r="CW43" s="25">
        <f t="shared" si="14"/>
        <v>1551308.82</v>
      </c>
      <c r="CX43" s="25">
        <f t="shared" si="14"/>
        <v>1209273.75</v>
      </c>
      <c r="CY43" s="25">
        <f t="shared" si="14"/>
        <v>165266.03</v>
      </c>
      <c r="CZ43" s="25">
        <f t="shared" si="14"/>
        <v>1719147.24</v>
      </c>
      <c r="DA43" s="25">
        <f t="shared" si="14"/>
        <v>14857404</v>
      </c>
      <c r="DB43" s="45"/>
      <c r="DC43" s="25">
        <f t="shared" si="14"/>
        <v>4308546</v>
      </c>
      <c r="DD43" s="25">
        <f t="shared" si="14"/>
        <v>3995733</v>
      </c>
      <c r="DE43" s="25">
        <f t="shared" si="14"/>
        <v>6107703</v>
      </c>
      <c r="DF43" s="25">
        <f t="shared" si="14"/>
        <v>5449361</v>
      </c>
      <c r="DG43" s="25">
        <f t="shared" si="14"/>
        <v>741530.92999999993</v>
      </c>
      <c r="DH43" s="25">
        <f t="shared" si="14"/>
        <v>688009.36</v>
      </c>
      <c r="DI43" s="25">
        <f t="shared" si="14"/>
        <v>431.08000000000004</v>
      </c>
      <c r="DJ43" s="25">
        <f t="shared" si="14"/>
        <v>0.79</v>
      </c>
      <c r="DK43" s="25">
        <f t="shared" si="14"/>
        <v>4203.74</v>
      </c>
      <c r="DL43" s="25">
        <f t="shared" si="14"/>
        <v>4120.93</v>
      </c>
      <c r="DM43" s="25">
        <f t="shared" si="14"/>
        <v>694958.17999999993</v>
      </c>
      <c r="DN43" s="25">
        <f t="shared" si="14"/>
        <v>63083.76</v>
      </c>
      <c r="DO43" s="25">
        <f t="shared" si="14"/>
        <v>221297</v>
      </c>
      <c r="DP43" s="18"/>
      <c r="DQ43" s="25">
        <v>9168</v>
      </c>
      <c r="DR43" s="25">
        <v>90813</v>
      </c>
      <c r="DS43" s="25">
        <v>22250607</v>
      </c>
      <c r="DT43" s="25">
        <v>8108</v>
      </c>
      <c r="DU43" s="25">
        <v>30536.5</v>
      </c>
      <c r="DV43" s="25">
        <v>2196040</v>
      </c>
      <c r="DW43" s="25">
        <v>2442958</v>
      </c>
      <c r="DX43" s="25">
        <v>2841433</v>
      </c>
      <c r="DY43" s="25">
        <v>29170</v>
      </c>
      <c r="DZ43" s="25">
        <v>2430983</v>
      </c>
      <c r="EA43" s="25">
        <v>2836680</v>
      </c>
      <c r="EB43" s="25">
        <v>35357</v>
      </c>
      <c r="EC43" s="25">
        <v>508752</v>
      </c>
      <c r="ED43" s="25">
        <v>529835</v>
      </c>
      <c r="EE43" s="25">
        <v>5532</v>
      </c>
      <c r="EF43" s="25">
        <v>41041</v>
      </c>
      <c r="EG43" s="25">
        <f t="shared" ref="EG43:EV43" si="15">SUM(EG40:EG42)</f>
        <v>396338.60000000003</v>
      </c>
      <c r="EH43" s="25">
        <f t="shared" si="15"/>
        <v>3355699</v>
      </c>
      <c r="EI43" s="25">
        <f t="shared" si="15"/>
        <v>3003987</v>
      </c>
      <c r="EJ43" s="25">
        <f t="shared" si="15"/>
        <v>162178835.74000001</v>
      </c>
      <c r="EK43" s="25">
        <f t="shared" si="15"/>
        <v>118602424.79000001</v>
      </c>
      <c r="EL43" s="25">
        <f t="shared" si="15"/>
        <v>467823502.48000002</v>
      </c>
      <c r="EM43" s="25">
        <f t="shared" si="15"/>
        <v>445067999.19000006</v>
      </c>
      <c r="EN43" s="25">
        <f t="shared" si="15"/>
        <v>-20274871.809999999</v>
      </c>
      <c r="EO43" s="25">
        <f t="shared" si="15"/>
        <v>58393169.160000004</v>
      </c>
      <c r="EP43" s="25">
        <f t="shared" si="15"/>
        <v>-35636613.460000001</v>
      </c>
      <c r="EQ43" s="25">
        <f t="shared" si="15"/>
        <v>103821690.67</v>
      </c>
      <c r="ER43" s="25">
        <f t="shared" si="15"/>
        <v>18268</v>
      </c>
      <c r="ES43" s="25">
        <f t="shared" si="15"/>
        <v>28773747.439999998</v>
      </c>
      <c r="ET43" s="25">
        <f t="shared" si="15"/>
        <v>328428074.12</v>
      </c>
      <c r="EU43" s="25">
        <f t="shared" si="15"/>
        <v>-7502684.4400000004</v>
      </c>
      <c r="EV43" s="25">
        <f t="shared" si="15"/>
        <v>41445413.230000004</v>
      </c>
      <c r="EW43" s="2"/>
    </row>
    <row r="44" spans="1:153" ht="12" customHeight="1">
      <c r="A44" s="46" t="s">
        <v>353</v>
      </c>
      <c r="B44" s="46"/>
      <c r="C44" s="46"/>
      <c r="D44" s="46"/>
      <c r="E44" s="46"/>
      <c r="F44" s="46"/>
      <c r="G44" s="46"/>
      <c r="H44" s="4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45"/>
      <c r="AA44" s="2"/>
      <c r="AB44" s="45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45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45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</row>
    <row r="45" spans="1:153" ht="12" customHeight="1">
      <c r="A45" s="1" t="s">
        <v>354</v>
      </c>
      <c r="B45" s="19">
        <v>1</v>
      </c>
      <c r="C45" s="19">
        <v>1</v>
      </c>
      <c r="D45" s="1" t="s">
        <v>4</v>
      </c>
      <c r="E45" s="19">
        <v>1</v>
      </c>
      <c r="F45" s="19">
        <v>1</v>
      </c>
      <c r="G45" s="20">
        <v>1</v>
      </c>
      <c r="H45" s="20">
        <v>0</v>
      </c>
      <c r="I45" s="20">
        <v>0</v>
      </c>
      <c r="J45" s="20">
        <v>0</v>
      </c>
      <c r="K45" s="20">
        <v>0</v>
      </c>
      <c r="L45" s="20" t="s">
        <v>4</v>
      </c>
      <c r="M45" s="21" t="s">
        <v>4</v>
      </c>
      <c r="N45" s="19">
        <v>1</v>
      </c>
      <c r="O45" s="1" t="s">
        <v>4</v>
      </c>
      <c r="P45" s="19">
        <v>1</v>
      </c>
      <c r="Q45" s="19">
        <v>1</v>
      </c>
      <c r="R45" s="20">
        <v>1</v>
      </c>
      <c r="S45" s="20">
        <v>0</v>
      </c>
      <c r="T45" s="20">
        <v>0</v>
      </c>
      <c r="U45" s="20">
        <v>0</v>
      </c>
      <c r="V45" s="20">
        <v>0</v>
      </c>
      <c r="W45" s="20" t="s">
        <v>4</v>
      </c>
      <c r="X45" s="21" t="s">
        <v>4</v>
      </c>
      <c r="Y45" s="19">
        <v>2817381</v>
      </c>
      <c r="Z45" s="45"/>
      <c r="AA45" s="19">
        <v>2817381</v>
      </c>
      <c r="AB45" s="45"/>
      <c r="AC45" s="19">
        <v>2050</v>
      </c>
      <c r="AD45" s="22">
        <v>2005040477.3299999</v>
      </c>
      <c r="AE45" s="22">
        <v>1865548357.1400001</v>
      </c>
      <c r="AF45" s="22">
        <v>998340850.80999994</v>
      </c>
      <c r="AG45" s="22">
        <v>853828511.07000005</v>
      </c>
      <c r="AH45" s="22">
        <v>5932940.21</v>
      </c>
      <c r="AI45" s="22">
        <v>7446055.0499999998</v>
      </c>
      <c r="AJ45" s="22">
        <v>139492120.19</v>
      </c>
      <c r="AK45" s="22">
        <v>1896015332.3399999</v>
      </c>
      <c r="AL45" s="22">
        <v>424064712.56</v>
      </c>
      <c r="AM45" s="22">
        <v>1920201799</v>
      </c>
      <c r="AN45" s="22">
        <v>1652086213.2</v>
      </c>
      <c r="AO45" s="22">
        <v>993544118.90999997</v>
      </c>
      <c r="AP45" s="22">
        <v>55982116.93</v>
      </c>
      <c r="AQ45" s="22">
        <v>182371464.03999999</v>
      </c>
      <c r="AR45" s="22">
        <v>251506127.78999999</v>
      </c>
      <c r="AS45" s="22">
        <v>0</v>
      </c>
      <c r="AT45" s="22">
        <v>0</v>
      </c>
      <c r="AU45" s="22">
        <v>79210577.870000005</v>
      </c>
      <c r="AV45" s="22">
        <v>89471807.659999996</v>
      </c>
      <c r="AW45" s="22">
        <v>49217718.960000001</v>
      </c>
      <c r="AX45" s="22">
        <v>0</v>
      </c>
      <c r="AY45" s="22">
        <v>49217718.960000001</v>
      </c>
      <c r="AZ45" s="22">
        <v>187157949.80000001</v>
      </c>
      <c r="BA45" s="22">
        <v>12999403.93</v>
      </c>
      <c r="BB45" s="22">
        <v>18740513.109999999</v>
      </c>
      <c r="BC45" s="22">
        <v>121821006.08</v>
      </c>
      <c r="BD45" s="22">
        <v>171038725.03999999</v>
      </c>
      <c r="BE45" s="22">
        <v>15320800.970000001</v>
      </c>
      <c r="BF45" s="22">
        <v>65978647.909999996</v>
      </c>
      <c r="BG45" s="22">
        <v>43792337.57</v>
      </c>
      <c r="BH45" s="22">
        <v>18493725.559999999</v>
      </c>
      <c r="BI45" s="22">
        <v>103479445.88</v>
      </c>
      <c r="BJ45" s="22">
        <v>24667939.280000001</v>
      </c>
      <c r="BK45" s="22">
        <v>15438126.85</v>
      </c>
      <c r="BL45" s="22">
        <v>143585512.00999999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19">
        <v>2788897</v>
      </c>
      <c r="CD45" s="45"/>
      <c r="CE45" s="19">
        <v>767092</v>
      </c>
      <c r="CF45" s="19">
        <v>718646</v>
      </c>
      <c r="CG45" s="19">
        <v>716555</v>
      </c>
      <c r="CH45" s="19">
        <v>1116158</v>
      </c>
      <c r="CI45" s="19">
        <v>1113990</v>
      </c>
      <c r="CJ45" s="19">
        <v>1056653</v>
      </c>
      <c r="CK45" s="19">
        <v>1054554</v>
      </c>
      <c r="CL45" s="22">
        <v>258310.66</v>
      </c>
      <c r="CM45" s="22">
        <v>249721.1</v>
      </c>
      <c r="CN45" s="22">
        <v>13917.95</v>
      </c>
      <c r="CO45" s="22">
        <v>0</v>
      </c>
      <c r="CP45" s="22">
        <v>0</v>
      </c>
      <c r="CQ45" s="22">
        <v>1015.41</v>
      </c>
      <c r="CR45" s="22">
        <v>239597.38</v>
      </c>
      <c r="CS45" s="22">
        <v>18062.52</v>
      </c>
      <c r="CT45" s="22">
        <v>250246.97</v>
      </c>
      <c r="CU45" s="22">
        <v>153226.04</v>
      </c>
      <c r="CV45" s="22">
        <v>161765.79999999999</v>
      </c>
      <c r="CW45" s="22">
        <v>160729</v>
      </c>
      <c r="CX45" s="22">
        <v>130964.25</v>
      </c>
      <c r="CY45" s="22">
        <v>9681.5499999999993</v>
      </c>
      <c r="CZ45" s="22">
        <v>229390.77</v>
      </c>
      <c r="DA45" s="19">
        <v>2600435</v>
      </c>
      <c r="DB45" s="45"/>
      <c r="DC45" s="19">
        <v>676157</v>
      </c>
      <c r="DD45" s="19">
        <v>635571</v>
      </c>
      <c r="DE45" s="19">
        <v>1020942</v>
      </c>
      <c r="DF45" s="19">
        <v>965656</v>
      </c>
      <c r="DG45" s="22">
        <v>131748</v>
      </c>
      <c r="DH45" s="22">
        <v>131748</v>
      </c>
      <c r="DI45" s="22">
        <v>0</v>
      </c>
      <c r="DJ45" s="22">
        <v>0</v>
      </c>
      <c r="DK45" s="22">
        <v>1234.8399999999999</v>
      </c>
      <c r="DL45" s="22">
        <v>1234.8399999999999</v>
      </c>
      <c r="DM45" s="22">
        <v>138503</v>
      </c>
      <c r="DN45" s="22">
        <v>7618.51</v>
      </c>
      <c r="DO45" s="22">
        <v>68427</v>
      </c>
      <c r="DP45" s="1"/>
      <c r="DQ45" s="19">
        <v>174</v>
      </c>
      <c r="DR45" s="19">
        <v>2583</v>
      </c>
      <c r="DS45" s="19">
        <v>1072296</v>
      </c>
      <c r="DT45" s="19">
        <v>0</v>
      </c>
      <c r="DU45" s="22">
        <v>0</v>
      </c>
      <c r="DV45" s="19">
        <v>0</v>
      </c>
      <c r="DW45" s="19">
        <v>59187</v>
      </c>
      <c r="DX45" s="19">
        <v>128635</v>
      </c>
      <c r="DY45" s="19">
        <v>423</v>
      </c>
      <c r="DZ45" s="19">
        <v>59187</v>
      </c>
      <c r="EA45" s="19">
        <v>127276</v>
      </c>
      <c r="EB45" s="19">
        <v>6738</v>
      </c>
      <c r="EC45" s="19">
        <v>13638</v>
      </c>
      <c r="ED45" s="19">
        <v>18048</v>
      </c>
      <c r="EE45" s="19">
        <v>182</v>
      </c>
      <c r="EF45" s="19">
        <v>10061</v>
      </c>
      <c r="EG45" s="22"/>
      <c r="EH45" s="19"/>
      <c r="EI45" s="19"/>
      <c r="EJ45" s="22"/>
      <c r="EK45" s="22">
        <v>1150560.78</v>
      </c>
      <c r="EL45" s="22">
        <v>4364189.7300000004</v>
      </c>
      <c r="EM45" s="22">
        <v>1635632.51</v>
      </c>
      <c r="EN45" s="22">
        <v>563050.67000000004</v>
      </c>
      <c r="EO45" s="22">
        <v>784601.88</v>
      </c>
      <c r="EP45" s="22">
        <v>1943955.35</v>
      </c>
      <c r="EQ45" s="22">
        <v>2005040.48</v>
      </c>
      <c r="ER45" s="22">
        <v>0</v>
      </c>
      <c r="ES45" s="22">
        <v>487304.99</v>
      </c>
      <c r="ET45" s="22">
        <v>2130474.75</v>
      </c>
      <c r="EU45" s="22">
        <v>641660.13</v>
      </c>
      <c r="EV45" s="22">
        <v>565914.44999999995</v>
      </c>
      <c r="EW45" s="2"/>
    </row>
    <row r="46" spans="1:153" ht="12" customHeight="1">
      <c r="A46" s="1" t="s">
        <v>355</v>
      </c>
      <c r="B46" s="19">
        <v>244</v>
      </c>
      <c r="C46" s="19">
        <v>244</v>
      </c>
      <c r="D46" s="1" t="s">
        <v>4</v>
      </c>
      <c r="E46" s="19">
        <v>244</v>
      </c>
      <c r="F46" s="19">
        <v>100</v>
      </c>
      <c r="G46" s="20">
        <v>124</v>
      </c>
      <c r="H46" s="20">
        <v>105</v>
      </c>
      <c r="I46" s="20">
        <v>0</v>
      </c>
      <c r="J46" s="20"/>
      <c r="K46" s="20"/>
      <c r="L46" s="20" t="s">
        <v>4</v>
      </c>
      <c r="M46" s="21" t="s">
        <v>4</v>
      </c>
      <c r="N46" s="19">
        <v>89</v>
      </c>
      <c r="O46" s="1" t="s">
        <v>4</v>
      </c>
      <c r="P46" s="19">
        <v>89</v>
      </c>
      <c r="Q46" s="19">
        <v>0</v>
      </c>
      <c r="R46" s="20">
        <v>41</v>
      </c>
      <c r="S46" s="20">
        <v>37</v>
      </c>
      <c r="T46" s="20">
        <v>0</v>
      </c>
      <c r="U46" s="20">
        <v>60</v>
      </c>
      <c r="V46" s="20">
        <v>68</v>
      </c>
      <c r="W46" s="20" t="s">
        <v>4</v>
      </c>
      <c r="X46" s="21" t="s">
        <v>4</v>
      </c>
      <c r="Y46" s="19">
        <v>7049389</v>
      </c>
      <c r="Z46" s="45"/>
      <c r="AA46" s="19">
        <v>6057842</v>
      </c>
      <c r="AB46" s="45"/>
      <c r="AC46" s="19">
        <v>6960</v>
      </c>
      <c r="AD46" s="22">
        <v>3421266831.0100002</v>
      </c>
      <c r="AE46" s="22">
        <v>3331798475.48</v>
      </c>
      <c r="AF46" s="22">
        <v>2085076457.03</v>
      </c>
      <c r="AG46" s="22">
        <v>1246722018.45</v>
      </c>
      <c r="AH46" s="22">
        <v>0</v>
      </c>
      <c r="AI46" s="22">
        <v>0</v>
      </c>
      <c r="AJ46" s="22">
        <v>89468355.530000001</v>
      </c>
      <c r="AK46" s="22">
        <v>3399885112.8800001</v>
      </c>
      <c r="AL46" s="22">
        <v>670114432.83000004</v>
      </c>
      <c r="AM46" s="22">
        <v>2817137704.4099998</v>
      </c>
      <c r="AN46" s="22">
        <v>2567885925.2800002</v>
      </c>
      <c r="AO46" s="22">
        <v>785549386.98000002</v>
      </c>
      <c r="AP46" s="22">
        <v>48184011.75</v>
      </c>
      <c r="AQ46" s="22">
        <v>299273661.95999998</v>
      </c>
      <c r="AR46" s="22">
        <v>205535088.38</v>
      </c>
      <c r="AS46" s="22">
        <v>30205356.050000001</v>
      </c>
      <c r="AT46" s="22">
        <v>0</v>
      </c>
      <c r="AU46" s="22">
        <v>315688260.63999999</v>
      </c>
      <c r="AV46" s="22">
        <v>883450159.5</v>
      </c>
      <c r="AW46" s="22">
        <v>144549333.99000001</v>
      </c>
      <c r="AX46" s="22">
        <v>22629580.780000001</v>
      </c>
      <c r="AY46" s="22">
        <v>167178914.77000001</v>
      </c>
      <c r="AZ46" s="22">
        <v>150943657.22</v>
      </c>
      <c r="BA46" s="22">
        <v>139534075.71000001</v>
      </c>
      <c r="BB46" s="22">
        <v>-208404868.66</v>
      </c>
      <c r="BC46" s="22">
        <v>286759801.06999999</v>
      </c>
      <c r="BD46" s="22">
        <v>453938715.83999997</v>
      </c>
      <c r="BE46" s="22">
        <v>117880617.77</v>
      </c>
      <c r="BF46" s="22">
        <v>172154945.40000001</v>
      </c>
      <c r="BG46" s="22">
        <v>738224824.35000002</v>
      </c>
      <c r="BH46" s="22">
        <v>177747202.84</v>
      </c>
      <c r="BI46" s="22">
        <v>816886271.94000006</v>
      </c>
      <c r="BJ46" s="22">
        <v>358521215.79000002</v>
      </c>
      <c r="BK46" s="22">
        <v>30600102.629999999</v>
      </c>
      <c r="BL46" s="22">
        <v>1206007590.3599999</v>
      </c>
      <c r="BM46" s="22">
        <v>62650</v>
      </c>
      <c r="BN46" s="22">
        <v>2005581.56</v>
      </c>
      <c r="BO46" s="22">
        <v>1270761.06</v>
      </c>
      <c r="BP46" s="22">
        <v>20000</v>
      </c>
      <c r="BQ46" s="22">
        <v>3358992.62</v>
      </c>
      <c r="BR46" s="22">
        <v>0</v>
      </c>
      <c r="BS46" s="22">
        <v>0</v>
      </c>
      <c r="BT46" s="22">
        <v>3358992.62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19">
        <v>6280842</v>
      </c>
      <c r="CD46" s="45"/>
      <c r="CE46" s="19">
        <v>2776887</v>
      </c>
      <c r="CF46" s="19">
        <v>2619782</v>
      </c>
      <c r="CG46" s="19">
        <v>2587565</v>
      </c>
      <c r="CH46" s="19">
        <v>2830889</v>
      </c>
      <c r="CI46" s="19">
        <v>2780557</v>
      </c>
      <c r="CJ46" s="19">
        <v>2534010</v>
      </c>
      <c r="CK46" s="19">
        <v>2463708</v>
      </c>
      <c r="CL46" s="22">
        <v>450326.2</v>
      </c>
      <c r="CM46" s="22">
        <v>431227.47</v>
      </c>
      <c r="CN46" s="22">
        <v>3588.56</v>
      </c>
      <c r="CO46" s="22">
        <v>1100</v>
      </c>
      <c r="CP46" s="22">
        <v>141.72999999999999</v>
      </c>
      <c r="CQ46" s="22">
        <v>0</v>
      </c>
      <c r="CR46" s="22">
        <v>366243.74</v>
      </c>
      <c r="CS46" s="22">
        <v>81219.77</v>
      </c>
      <c r="CT46" s="22">
        <v>381168.02</v>
      </c>
      <c r="CU46" s="22">
        <v>306128.14</v>
      </c>
      <c r="CV46" s="22">
        <v>320934.87</v>
      </c>
      <c r="CW46" s="22">
        <v>343915.84</v>
      </c>
      <c r="CX46" s="22">
        <v>260901.3</v>
      </c>
      <c r="CY46" s="22">
        <v>35460.400000000001</v>
      </c>
      <c r="CZ46" s="22">
        <v>350206.09</v>
      </c>
      <c r="DA46" s="19">
        <v>4444408</v>
      </c>
      <c r="DB46" s="45"/>
      <c r="DC46" s="19">
        <v>1591095</v>
      </c>
      <c r="DD46" s="19">
        <v>1522865</v>
      </c>
      <c r="DE46" s="19">
        <v>1703453</v>
      </c>
      <c r="DF46" s="19">
        <v>1485620</v>
      </c>
      <c r="DG46" s="22">
        <v>205512.59</v>
      </c>
      <c r="DH46" s="22">
        <v>192013.37</v>
      </c>
      <c r="DI46" s="22">
        <v>0</v>
      </c>
      <c r="DJ46" s="22">
        <v>0</v>
      </c>
      <c r="DK46" s="22">
        <v>0</v>
      </c>
      <c r="DL46" s="22">
        <v>0</v>
      </c>
      <c r="DM46" s="22">
        <v>202571.25</v>
      </c>
      <c r="DN46" s="22">
        <v>17328.91</v>
      </c>
      <c r="DO46" s="22">
        <v>30782.99</v>
      </c>
      <c r="DP46" s="1"/>
      <c r="DQ46" s="19">
        <v>1840</v>
      </c>
      <c r="DR46" s="19">
        <v>32350</v>
      </c>
      <c r="DS46" s="19">
        <v>11754796</v>
      </c>
      <c r="DT46" s="19">
        <v>820</v>
      </c>
      <c r="DU46" s="22">
        <v>14719.8</v>
      </c>
      <c r="DV46" s="19">
        <v>3332205</v>
      </c>
      <c r="DW46" s="19">
        <v>220485</v>
      </c>
      <c r="DX46" s="19">
        <v>199858</v>
      </c>
      <c r="DY46" s="19">
        <v>6577</v>
      </c>
      <c r="DZ46" s="19">
        <v>255021</v>
      </c>
      <c r="EA46" s="19">
        <v>231927</v>
      </c>
      <c r="EB46" s="19">
        <v>13352</v>
      </c>
      <c r="EC46" s="19">
        <v>174669</v>
      </c>
      <c r="ED46" s="19">
        <v>131691</v>
      </c>
      <c r="EE46" s="19">
        <v>1464</v>
      </c>
      <c r="EF46" s="19">
        <v>32575</v>
      </c>
      <c r="EG46" s="22">
        <v>1957.09</v>
      </c>
      <c r="EH46" s="19">
        <v>238536</v>
      </c>
      <c r="EI46" s="19">
        <v>232343</v>
      </c>
      <c r="EJ46" s="22">
        <v>1474400.59</v>
      </c>
      <c r="EK46" s="22">
        <v>1589720.83</v>
      </c>
      <c r="EL46" s="22">
        <v>7573669.54</v>
      </c>
      <c r="EM46" s="22">
        <v>2718316.67</v>
      </c>
      <c r="EN46" s="22">
        <v>400974.19</v>
      </c>
      <c r="EO46" s="22">
        <v>1124026.5900000001</v>
      </c>
      <c r="EP46" s="22">
        <v>3731805.66</v>
      </c>
      <c r="EQ46" s="22">
        <v>3052900.49</v>
      </c>
      <c r="ER46" s="22">
        <v>72</v>
      </c>
      <c r="ES46" s="22">
        <v>1860500.4</v>
      </c>
      <c r="ET46" s="22">
        <v>1775393.71</v>
      </c>
      <c r="EU46" s="22">
        <v>546636.30000000005</v>
      </c>
      <c r="EV46" s="22">
        <v>1988827.51</v>
      </c>
      <c r="EW46" s="2"/>
    </row>
    <row r="47" spans="1:153" ht="12" customHeight="1">
      <c r="A47" s="1" t="s">
        <v>356</v>
      </c>
      <c r="B47" s="19">
        <v>79</v>
      </c>
      <c r="C47" s="19">
        <v>79</v>
      </c>
      <c r="D47" s="1" t="s">
        <v>4</v>
      </c>
      <c r="E47" s="19">
        <v>79</v>
      </c>
      <c r="F47" s="19">
        <v>95</v>
      </c>
      <c r="G47" s="20">
        <v>68</v>
      </c>
      <c r="H47" s="20">
        <v>1</v>
      </c>
      <c r="I47" s="20">
        <v>0</v>
      </c>
      <c r="J47" s="20"/>
      <c r="K47" s="20"/>
      <c r="L47" s="20" t="s">
        <v>4</v>
      </c>
      <c r="M47" s="21" t="s">
        <v>4</v>
      </c>
      <c r="N47" s="19">
        <v>65</v>
      </c>
      <c r="O47" s="1" t="s">
        <v>4</v>
      </c>
      <c r="P47" s="19">
        <v>65</v>
      </c>
      <c r="Q47" s="19">
        <v>5</v>
      </c>
      <c r="R47" s="20">
        <v>58</v>
      </c>
      <c r="S47" s="20">
        <v>1</v>
      </c>
      <c r="T47" s="20">
        <v>0</v>
      </c>
      <c r="U47" s="20">
        <v>10</v>
      </c>
      <c r="V47" s="20"/>
      <c r="W47" s="20" t="s">
        <v>4</v>
      </c>
      <c r="X47" s="21" t="s">
        <v>4</v>
      </c>
      <c r="Y47" s="19">
        <v>2757013</v>
      </c>
      <c r="Z47" s="45"/>
      <c r="AA47" s="19">
        <v>2601208</v>
      </c>
      <c r="AB47" s="45"/>
      <c r="AC47" s="19">
        <v>2379</v>
      </c>
      <c r="AD47" s="22">
        <v>1593085711.95</v>
      </c>
      <c r="AE47" s="22">
        <v>1409722051.4100001</v>
      </c>
      <c r="AF47" s="22">
        <v>1035926662</v>
      </c>
      <c r="AG47" s="22">
        <v>373795389.41000003</v>
      </c>
      <c r="AH47" s="22">
        <v>0</v>
      </c>
      <c r="AI47" s="22">
        <v>0</v>
      </c>
      <c r="AJ47" s="22">
        <v>183363659.53999999</v>
      </c>
      <c r="AK47" s="22">
        <v>1528972852.98</v>
      </c>
      <c r="AL47" s="22">
        <v>473273000.56</v>
      </c>
      <c r="AM47" s="22">
        <v>1306264758.3499999</v>
      </c>
      <c r="AN47" s="22">
        <v>794697981.35000002</v>
      </c>
      <c r="AO47" s="22">
        <v>228563224.59999999</v>
      </c>
      <c r="AP47" s="22">
        <v>16422767.17</v>
      </c>
      <c r="AQ47" s="22">
        <v>145887706.15000001</v>
      </c>
      <c r="AR47" s="22">
        <v>259982123</v>
      </c>
      <c r="AS47" s="22">
        <v>6000</v>
      </c>
      <c r="AT47" s="22">
        <v>0</v>
      </c>
      <c r="AU47" s="22">
        <v>55705298.479999997</v>
      </c>
      <c r="AV47" s="22">
        <v>88130861.700000003</v>
      </c>
      <c r="AW47" s="22">
        <v>132656655.55</v>
      </c>
      <c r="AX47" s="22">
        <v>3332278.35</v>
      </c>
      <c r="AY47" s="22">
        <v>135988933.90000001</v>
      </c>
      <c r="AZ47" s="22">
        <v>118777298.43000001</v>
      </c>
      <c r="BA47" s="22">
        <v>147001115.61000001</v>
      </c>
      <c r="BB47" s="22">
        <v>109799429.06</v>
      </c>
      <c r="BC47" s="22">
        <v>144004982.28</v>
      </c>
      <c r="BD47" s="22">
        <v>279993916.18000001</v>
      </c>
      <c r="BE47" s="22">
        <v>15321.12</v>
      </c>
      <c r="BF47" s="22">
        <v>162361230.19</v>
      </c>
      <c r="BG47" s="22">
        <v>190173637.25</v>
      </c>
      <c r="BH47" s="22">
        <v>62099798.289999999</v>
      </c>
      <c r="BI47" s="22">
        <v>123807890.20999999</v>
      </c>
      <c r="BJ47" s="22">
        <v>258290095.69999999</v>
      </c>
      <c r="BK47" s="22">
        <v>32552000.940000001</v>
      </c>
      <c r="BL47" s="22">
        <v>414649986.85000002</v>
      </c>
      <c r="BM47" s="22">
        <v>0</v>
      </c>
      <c r="BN47" s="22">
        <v>213379.56</v>
      </c>
      <c r="BO47" s="22">
        <v>0</v>
      </c>
      <c r="BP47" s="22">
        <v>213379.56</v>
      </c>
      <c r="BQ47" s="22">
        <v>213379.56</v>
      </c>
      <c r="BR47" s="22">
        <v>213379.56</v>
      </c>
      <c r="BS47" s="22">
        <v>0</v>
      </c>
      <c r="BT47" s="22">
        <v>426759.12</v>
      </c>
      <c r="BU47" s="22">
        <v>0</v>
      </c>
      <c r="BV47" s="22">
        <v>0</v>
      </c>
      <c r="BW47" s="22">
        <v>6958674.9699999997</v>
      </c>
      <c r="BX47" s="22">
        <v>0</v>
      </c>
      <c r="BY47" s="22">
        <v>0</v>
      </c>
      <c r="BZ47" s="22">
        <v>0</v>
      </c>
      <c r="CA47" s="22">
        <v>6958674.9699999997</v>
      </c>
      <c r="CB47" s="22">
        <v>6958674.9699999997</v>
      </c>
      <c r="CC47" s="19">
        <v>2366515</v>
      </c>
      <c r="CD47" s="45"/>
      <c r="CE47" s="19">
        <v>1094091</v>
      </c>
      <c r="CF47" s="19">
        <v>912381</v>
      </c>
      <c r="CG47" s="19">
        <v>911101</v>
      </c>
      <c r="CH47" s="19">
        <v>983388</v>
      </c>
      <c r="CI47" s="19">
        <v>982003</v>
      </c>
      <c r="CJ47" s="19">
        <v>907127</v>
      </c>
      <c r="CK47" s="19">
        <v>900596</v>
      </c>
      <c r="CL47" s="22">
        <v>244464.19</v>
      </c>
      <c r="CM47" s="22">
        <v>235101.83</v>
      </c>
      <c r="CN47" s="22">
        <v>29988.77</v>
      </c>
      <c r="CO47" s="22">
        <v>0</v>
      </c>
      <c r="CP47" s="22">
        <v>0</v>
      </c>
      <c r="CQ47" s="22">
        <v>0</v>
      </c>
      <c r="CR47" s="22">
        <v>94197.43</v>
      </c>
      <c r="CS47" s="22">
        <v>150079.76</v>
      </c>
      <c r="CT47" s="22">
        <v>170661.01</v>
      </c>
      <c r="CU47" s="22">
        <v>139469.60999999999</v>
      </c>
      <c r="CV47" s="22">
        <v>143250</v>
      </c>
      <c r="CW47" s="22">
        <v>139360.57</v>
      </c>
      <c r="CX47" s="22">
        <v>124383.69</v>
      </c>
      <c r="CY47" s="22">
        <v>16039.61</v>
      </c>
      <c r="CZ47" s="22">
        <v>206068.5</v>
      </c>
      <c r="DA47" s="19">
        <v>1599752</v>
      </c>
      <c r="DB47" s="45"/>
      <c r="DC47" s="19">
        <v>608760</v>
      </c>
      <c r="DD47" s="19">
        <v>555295</v>
      </c>
      <c r="DE47" s="19">
        <v>619809</v>
      </c>
      <c r="DF47" s="19">
        <v>573436</v>
      </c>
      <c r="DG47" s="22">
        <v>71298.720000000001</v>
      </c>
      <c r="DH47" s="22">
        <v>71195.08</v>
      </c>
      <c r="DI47" s="22">
        <v>0</v>
      </c>
      <c r="DJ47" s="22">
        <v>0</v>
      </c>
      <c r="DK47" s="22">
        <v>0</v>
      </c>
      <c r="DL47" s="22">
        <v>0</v>
      </c>
      <c r="DM47" s="22">
        <v>80379.429999999993</v>
      </c>
      <c r="DN47" s="22">
        <v>8149.48</v>
      </c>
      <c r="DO47" s="22">
        <v>14031.54</v>
      </c>
      <c r="DP47" s="1"/>
      <c r="DQ47" s="19">
        <v>1233</v>
      </c>
      <c r="DR47" s="19">
        <v>12644</v>
      </c>
      <c r="DS47" s="19">
        <v>2124564</v>
      </c>
      <c r="DT47" s="19">
        <v>80</v>
      </c>
      <c r="DU47" s="22">
        <v>1044.26</v>
      </c>
      <c r="DV47" s="19">
        <v>83790</v>
      </c>
      <c r="DW47" s="19">
        <v>80331</v>
      </c>
      <c r="DX47" s="19">
        <v>96549</v>
      </c>
      <c r="DY47" s="19">
        <v>907</v>
      </c>
      <c r="DZ47" s="19">
        <v>79898</v>
      </c>
      <c r="EA47" s="19">
        <v>94889</v>
      </c>
      <c r="EB47" s="19">
        <v>419</v>
      </c>
      <c r="EC47" s="19">
        <v>62655</v>
      </c>
      <c r="ED47" s="19">
        <v>66652</v>
      </c>
      <c r="EE47" s="19">
        <v>550</v>
      </c>
      <c r="EF47" s="19">
        <v>13983</v>
      </c>
      <c r="EG47" s="22">
        <v>283.82</v>
      </c>
      <c r="EH47" s="19">
        <v>282778</v>
      </c>
      <c r="EI47" s="19">
        <v>282346</v>
      </c>
      <c r="EJ47" s="22">
        <v>960065.98</v>
      </c>
      <c r="EK47" s="22">
        <v>706628.35</v>
      </c>
      <c r="EL47" s="22">
        <v>1951618.69</v>
      </c>
      <c r="EM47" s="22">
        <v>941584.96</v>
      </c>
      <c r="EN47" s="22">
        <v>286329.46999999997</v>
      </c>
      <c r="EO47" s="22">
        <v>299269.59000000003</v>
      </c>
      <c r="EP47" s="22">
        <v>-708610.21</v>
      </c>
      <c r="EQ47" s="22">
        <v>903883.65</v>
      </c>
      <c r="ER47" s="22">
        <v>0</v>
      </c>
      <c r="ES47" s="22">
        <v>497470.92</v>
      </c>
      <c r="ET47" s="22">
        <v>69391.070000000007</v>
      </c>
      <c r="EU47" s="22">
        <v>340293.46</v>
      </c>
      <c r="EV47" s="22">
        <v>551434.91</v>
      </c>
      <c r="EW47" s="2"/>
    </row>
    <row r="48" spans="1:153" ht="12" customHeight="1">
      <c r="A48" s="1" t="s">
        <v>357</v>
      </c>
      <c r="B48" s="19">
        <v>127</v>
      </c>
      <c r="C48" s="19">
        <v>127</v>
      </c>
      <c r="D48" s="1" t="s">
        <v>4</v>
      </c>
      <c r="E48" s="19">
        <v>127</v>
      </c>
      <c r="F48" s="19">
        <v>205</v>
      </c>
      <c r="G48" s="20">
        <v>37</v>
      </c>
      <c r="H48" s="20">
        <v>0</v>
      </c>
      <c r="I48" s="20">
        <v>0</v>
      </c>
      <c r="J48" s="20"/>
      <c r="K48" s="20"/>
      <c r="L48" s="20" t="s">
        <v>4</v>
      </c>
      <c r="M48" s="21" t="s">
        <v>4</v>
      </c>
      <c r="N48" s="19">
        <v>40</v>
      </c>
      <c r="O48" s="1" t="s">
        <v>4</v>
      </c>
      <c r="P48" s="19">
        <v>40</v>
      </c>
      <c r="Q48" s="19">
        <v>8</v>
      </c>
      <c r="R48" s="20">
        <v>20</v>
      </c>
      <c r="S48" s="20">
        <v>0</v>
      </c>
      <c r="T48" s="20">
        <v>0</v>
      </c>
      <c r="U48" s="20"/>
      <c r="V48" s="20"/>
      <c r="W48" s="20" t="s">
        <v>4</v>
      </c>
      <c r="X48" s="21" t="s">
        <v>4</v>
      </c>
      <c r="Y48" s="19">
        <v>3526155</v>
      </c>
      <c r="Z48" s="45"/>
      <c r="AA48" s="19">
        <v>2616484</v>
      </c>
      <c r="AB48" s="45"/>
      <c r="AC48" s="19">
        <v>2761</v>
      </c>
      <c r="AD48" s="22">
        <v>1152095772.3800001</v>
      </c>
      <c r="AE48" s="22">
        <v>1062845671.52</v>
      </c>
      <c r="AF48" s="22">
        <v>815578896.99000001</v>
      </c>
      <c r="AG48" s="22">
        <v>247263861.53</v>
      </c>
      <c r="AH48" s="22">
        <v>2913</v>
      </c>
      <c r="AI48" s="22">
        <v>0</v>
      </c>
      <c r="AJ48" s="22">
        <v>89250099.629999995</v>
      </c>
      <c r="AK48" s="22">
        <v>1048439812.76</v>
      </c>
      <c r="AL48" s="22">
        <v>454386379.10000002</v>
      </c>
      <c r="AM48" s="22">
        <v>935477361.96000004</v>
      </c>
      <c r="AN48" s="22">
        <v>642787986.03999996</v>
      </c>
      <c r="AO48" s="22">
        <v>171104147.66</v>
      </c>
      <c r="AP48" s="22">
        <v>28249453</v>
      </c>
      <c r="AQ48" s="22">
        <v>154681535.94999999</v>
      </c>
      <c r="AR48" s="22">
        <v>135448939.25999999</v>
      </c>
      <c r="AS48" s="22">
        <v>28110.2</v>
      </c>
      <c r="AT48" s="22">
        <v>0</v>
      </c>
      <c r="AU48" s="22">
        <v>53775927.780000001</v>
      </c>
      <c r="AV48" s="22">
        <v>99499871.859999999</v>
      </c>
      <c r="AW48" s="22">
        <v>75216373.989999995</v>
      </c>
      <c r="AX48" s="22">
        <v>-649536.82999999996</v>
      </c>
      <c r="AY48" s="22">
        <v>74566837.159999996</v>
      </c>
      <c r="AZ48" s="22">
        <v>128554675.87</v>
      </c>
      <c r="BA48" s="22">
        <v>27767006.32</v>
      </c>
      <c r="BB48" s="22">
        <v>61800856.219999999</v>
      </c>
      <c r="BC48" s="22">
        <v>322888938.81</v>
      </c>
      <c r="BD48" s="22">
        <v>397455775.97000003</v>
      </c>
      <c r="BE48" s="22">
        <v>677803.03</v>
      </c>
      <c r="BF48" s="22">
        <v>199809929.30000001</v>
      </c>
      <c r="BG48" s="22">
        <v>261270506.62</v>
      </c>
      <c r="BH48" s="22">
        <v>32820256.440000001</v>
      </c>
      <c r="BI48" s="22">
        <v>373928671.60000002</v>
      </c>
      <c r="BJ48" s="22">
        <v>120649823.79000001</v>
      </c>
      <c r="BK48" s="22">
        <v>0</v>
      </c>
      <c r="BL48" s="22">
        <v>494578495.38999999</v>
      </c>
      <c r="BM48" s="22">
        <v>1417391.86</v>
      </c>
      <c r="BN48" s="22">
        <v>19314158.59</v>
      </c>
      <c r="BO48" s="22">
        <v>5572416.7800000003</v>
      </c>
      <c r="BP48" s="22">
        <v>2413002.62</v>
      </c>
      <c r="BQ48" s="22">
        <v>25909705.609999999</v>
      </c>
      <c r="BR48" s="22">
        <v>503822.47</v>
      </c>
      <c r="BS48" s="22">
        <v>2303441.77</v>
      </c>
      <c r="BT48" s="22">
        <v>21111586.09</v>
      </c>
      <c r="BU48" s="22">
        <v>247482</v>
      </c>
      <c r="BV48" s="22">
        <v>6665963.1299999999</v>
      </c>
      <c r="BW48" s="22">
        <v>0</v>
      </c>
      <c r="BX48" s="22">
        <v>297367.40000000002</v>
      </c>
      <c r="BY48" s="22">
        <v>0</v>
      </c>
      <c r="BZ48" s="22">
        <v>687539.24</v>
      </c>
      <c r="CA48" s="22">
        <v>0</v>
      </c>
      <c r="CB48" s="22">
        <v>7210812.5300000003</v>
      </c>
      <c r="CC48" s="19">
        <v>3068179</v>
      </c>
      <c r="CD48" s="45"/>
      <c r="CE48" s="19">
        <v>1190507</v>
      </c>
      <c r="CF48" s="19">
        <v>1020076</v>
      </c>
      <c r="CG48" s="19">
        <v>933187</v>
      </c>
      <c r="CH48" s="19">
        <v>1182569</v>
      </c>
      <c r="CI48" s="19">
        <v>1072570</v>
      </c>
      <c r="CJ48" s="19">
        <v>1028306</v>
      </c>
      <c r="CK48" s="19">
        <v>941580</v>
      </c>
      <c r="CL48" s="22">
        <v>366380.32</v>
      </c>
      <c r="CM48" s="22">
        <v>257862.85</v>
      </c>
      <c r="CN48" s="22">
        <v>7599.01</v>
      </c>
      <c r="CO48" s="22">
        <v>4513.5</v>
      </c>
      <c r="CP48" s="22">
        <v>690</v>
      </c>
      <c r="CQ48" s="22">
        <v>10.1</v>
      </c>
      <c r="CR48" s="22">
        <v>243747.9</v>
      </c>
      <c r="CS48" s="22">
        <v>114159.64</v>
      </c>
      <c r="CT48" s="22">
        <v>219678.9</v>
      </c>
      <c r="CU48" s="22">
        <v>176069.49</v>
      </c>
      <c r="CV48" s="22">
        <v>198499.03</v>
      </c>
      <c r="CW48" s="22">
        <v>218464.38</v>
      </c>
      <c r="CX48" s="22">
        <v>145841.94</v>
      </c>
      <c r="CY48" s="22">
        <v>20107.11</v>
      </c>
      <c r="CZ48" s="22">
        <v>198728.95999999999</v>
      </c>
      <c r="DA48" s="19">
        <v>1421021</v>
      </c>
      <c r="DB48" s="45"/>
      <c r="DC48" s="19">
        <v>417731</v>
      </c>
      <c r="DD48" s="19">
        <v>395275</v>
      </c>
      <c r="DE48" s="19">
        <v>482674</v>
      </c>
      <c r="DF48" s="19">
        <v>437243</v>
      </c>
      <c r="DG48" s="22">
        <v>73814.850000000006</v>
      </c>
      <c r="DH48" s="22">
        <v>59802.54</v>
      </c>
      <c r="DI48" s="22">
        <v>0</v>
      </c>
      <c r="DJ48" s="22">
        <v>0</v>
      </c>
      <c r="DK48" s="22">
        <v>0</v>
      </c>
      <c r="DL48" s="22">
        <v>0</v>
      </c>
      <c r="DM48" s="22">
        <v>81195.009999999995</v>
      </c>
      <c r="DN48" s="22">
        <v>6449.97</v>
      </c>
      <c r="DO48" s="22">
        <v>20613.3</v>
      </c>
      <c r="DP48" s="1"/>
      <c r="DQ48" s="19">
        <v>2792</v>
      </c>
      <c r="DR48" s="19">
        <v>34947</v>
      </c>
      <c r="DS48" s="19">
        <v>5958750</v>
      </c>
      <c r="DT48" s="19">
        <v>14246</v>
      </c>
      <c r="DU48" s="22">
        <v>1192515.0900000001</v>
      </c>
      <c r="DV48" s="19">
        <v>9545954</v>
      </c>
      <c r="DW48" s="19">
        <v>357080</v>
      </c>
      <c r="DX48" s="19">
        <v>414031</v>
      </c>
      <c r="DY48" s="19">
        <v>5579</v>
      </c>
      <c r="DZ48" s="19">
        <v>336984</v>
      </c>
      <c r="EA48" s="19">
        <v>379938</v>
      </c>
      <c r="EB48" s="19">
        <v>17495</v>
      </c>
      <c r="EC48" s="19">
        <v>63277</v>
      </c>
      <c r="ED48" s="19">
        <v>65256</v>
      </c>
      <c r="EE48" s="19">
        <v>3840</v>
      </c>
      <c r="EF48" s="19">
        <v>21322</v>
      </c>
      <c r="EG48" s="22">
        <v>94050.68</v>
      </c>
      <c r="EH48" s="19">
        <v>2259557</v>
      </c>
      <c r="EI48" s="19">
        <v>1950943</v>
      </c>
      <c r="EJ48" s="22">
        <v>43596818.82</v>
      </c>
      <c r="EK48" s="22">
        <v>11963377.52</v>
      </c>
      <c r="EL48" s="22">
        <v>29627187.789999999</v>
      </c>
      <c r="EM48" s="22">
        <v>1634009.26</v>
      </c>
      <c r="EN48" s="22">
        <v>6541053.7999999998</v>
      </c>
      <c r="EO48" s="22">
        <v>1658244.89</v>
      </c>
      <c r="EP48" s="22">
        <v>32914776.539999999</v>
      </c>
      <c r="EQ48" s="22">
        <v>11669548.91</v>
      </c>
      <c r="ER48" s="22">
        <v>27541.67</v>
      </c>
      <c r="ES48" s="22">
        <v>7007729.8399999999</v>
      </c>
      <c r="ET48" s="22">
        <v>1998161.49</v>
      </c>
      <c r="EU48" s="22">
        <v>7697777.4800000004</v>
      </c>
      <c r="EV48" s="22">
        <v>7828271.7400000002</v>
      </c>
      <c r="EW48" s="2"/>
    </row>
    <row r="49" spans="1:153" ht="12" customHeight="1">
      <c r="A49" s="23" t="s">
        <v>333</v>
      </c>
      <c r="B49" s="24">
        <v>451</v>
      </c>
      <c r="C49" s="24">
        <v>451</v>
      </c>
      <c r="D49" s="18" t="s">
        <v>4</v>
      </c>
      <c r="E49" s="24">
        <v>451</v>
      </c>
      <c r="F49" s="25">
        <f>SUM(F45:F48)</f>
        <v>401</v>
      </c>
      <c r="G49" s="24">
        <v>230</v>
      </c>
      <c r="H49" s="24">
        <v>106</v>
      </c>
      <c r="I49" s="24">
        <v>0</v>
      </c>
      <c r="J49" s="24">
        <v>0</v>
      </c>
      <c r="K49" s="24">
        <v>0</v>
      </c>
      <c r="L49" s="24" t="s">
        <v>4</v>
      </c>
      <c r="M49" s="26" t="s">
        <v>4</v>
      </c>
      <c r="N49" s="24">
        <v>195</v>
      </c>
      <c r="O49" s="18" t="s">
        <v>4</v>
      </c>
      <c r="P49" s="24">
        <v>195</v>
      </c>
      <c r="Q49" s="25">
        <f>SUM(Q45:Q48)</f>
        <v>14</v>
      </c>
      <c r="R49" s="24">
        <v>120</v>
      </c>
      <c r="S49" s="24">
        <v>38</v>
      </c>
      <c r="T49" s="24">
        <v>0</v>
      </c>
      <c r="U49" s="24">
        <v>70</v>
      </c>
      <c r="V49" s="24">
        <v>68</v>
      </c>
      <c r="W49" s="24" t="s">
        <v>4</v>
      </c>
      <c r="X49" s="26" t="s">
        <v>4</v>
      </c>
      <c r="Y49" s="24">
        <v>16149938</v>
      </c>
      <c r="Z49" s="45"/>
      <c r="AA49" s="24">
        <v>14092915</v>
      </c>
      <c r="AB49" s="45"/>
      <c r="AC49" s="25">
        <f t="shared" ref="AC49:BH49" si="16">SUM(AC45:AC48)</f>
        <v>14150</v>
      </c>
      <c r="AD49" s="25">
        <f t="shared" si="16"/>
        <v>8171488792.6700001</v>
      </c>
      <c r="AE49" s="25">
        <f t="shared" si="16"/>
        <v>7669914555.5499992</v>
      </c>
      <c r="AF49" s="25">
        <f t="shared" si="16"/>
        <v>4934922866.8299999</v>
      </c>
      <c r="AG49" s="25">
        <f t="shared" si="16"/>
        <v>2721609780.46</v>
      </c>
      <c r="AH49" s="25">
        <f t="shared" si="16"/>
        <v>5935853.21</v>
      </c>
      <c r="AI49" s="25">
        <f t="shared" si="16"/>
        <v>7446055.0499999998</v>
      </c>
      <c r="AJ49" s="25">
        <f t="shared" si="16"/>
        <v>501574234.88999999</v>
      </c>
      <c r="AK49" s="25">
        <f t="shared" si="16"/>
        <v>7873313110.960001</v>
      </c>
      <c r="AL49" s="25">
        <f t="shared" si="16"/>
        <v>2021838525.0500002</v>
      </c>
      <c r="AM49" s="25">
        <f t="shared" si="16"/>
        <v>6979081623.7200003</v>
      </c>
      <c r="AN49" s="25">
        <f t="shared" si="16"/>
        <v>5657458105.8700008</v>
      </c>
      <c r="AO49" s="25">
        <f t="shared" si="16"/>
        <v>2178760878.1499996</v>
      </c>
      <c r="AP49" s="25">
        <f t="shared" si="16"/>
        <v>148838348.85000002</v>
      </c>
      <c r="AQ49" s="25">
        <f t="shared" si="16"/>
        <v>782214368.0999999</v>
      </c>
      <c r="AR49" s="25">
        <f t="shared" si="16"/>
        <v>852472278.42999995</v>
      </c>
      <c r="AS49" s="25">
        <f t="shared" si="16"/>
        <v>30239466.25</v>
      </c>
      <c r="AT49" s="25">
        <f t="shared" si="16"/>
        <v>0</v>
      </c>
      <c r="AU49" s="25">
        <f t="shared" si="16"/>
        <v>504380064.76999998</v>
      </c>
      <c r="AV49" s="25">
        <f t="shared" si="16"/>
        <v>1160552700.72</v>
      </c>
      <c r="AW49" s="25">
        <f t="shared" si="16"/>
        <v>401640082.49000001</v>
      </c>
      <c r="AX49" s="25">
        <f t="shared" si="16"/>
        <v>25312322.300000004</v>
      </c>
      <c r="AY49" s="25">
        <f t="shared" si="16"/>
        <v>426952404.78999996</v>
      </c>
      <c r="AZ49" s="25">
        <f t="shared" si="16"/>
        <v>585433581.31999993</v>
      </c>
      <c r="BA49" s="25">
        <f t="shared" si="16"/>
        <v>327301601.56999999</v>
      </c>
      <c r="BB49" s="25">
        <f t="shared" si="16"/>
        <v>-18064070.270000011</v>
      </c>
      <c r="BC49" s="25">
        <f t="shared" si="16"/>
        <v>875474728.24000001</v>
      </c>
      <c r="BD49" s="25">
        <f t="shared" si="16"/>
        <v>1302427133.03</v>
      </c>
      <c r="BE49" s="25">
        <f t="shared" si="16"/>
        <v>133894542.89</v>
      </c>
      <c r="BF49" s="25">
        <f t="shared" si="16"/>
        <v>600304752.79999995</v>
      </c>
      <c r="BG49" s="25">
        <f t="shared" si="16"/>
        <v>1233461305.79</v>
      </c>
      <c r="BH49" s="25">
        <f t="shared" si="16"/>
        <v>291160983.13</v>
      </c>
      <c r="BI49" s="25">
        <f t="shared" ref="BI49:CN49" si="17">SUM(BI45:BI48)</f>
        <v>1418102279.6300001</v>
      </c>
      <c r="BJ49" s="25">
        <f t="shared" si="17"/>
        <v>762129074.55999994</v>
      </c>
      <c r="BK49" s="25">
        <f t="shared" si="17"/>
        <v>78590230.420000002</v>
      </c>
      <c r="BL49" s="25">
        <f t="shared" si="17"/>
        <v>2258821584.6099997</v>
      </c>
      <c r="BM49" s="25">
        <f t="shared" si="17"/>
        <v>1480041.86</v>
      </c>
      <c r="BN49" s="25">
        <f t="shared" si="17"/>
        <v>21533119.710000001</v>
      </c>
      <c r="BO49" s="25">
        <f t="shared" si="17"/>
        <v>6843177.8399999999</v>
      </c>
      <c r="BP49" s="25">
        <f t="shared" si="17"/>
        <v>2646382.1800000002</v>
      </c>
      <c r="BQ49" s="25">
        <f t="shared" si="17"/>
        <v>29482077.789999999</v>
      </c>
      <c r="BR49" s="25">
        <f t="shared" si="17"/>
        <v>717202.03</v>
      </c>
      <c r="BS49" s="25">
        <f t="shared" si="17"/>
        <v>2303441.77</v>
      </c>
      <c r="BT49" s="25">
        <f t="shared" si="17"/>
        <v>24897337.829999998</v>
      </c>
      <c r="BU49" s="25">
        <f t="shared" si="17"/>
        <v>247482</v>
      </c>
      <c r="BV49" s="25">
        <f t="shared" si="17"/>
        <v>6665963.1299999999</v>
      </c>
      <c r="BW49" s="25">
        <f t="shared" si="17"/>
        <v>6958674.9699999997</v>
      </c>
      <c r="BX49" s="25">
        <f t="shared" si="17"/>
        <v>297367.40000000002</v>
      </c>
      <c r="BY49" s="25">
        <f t="shared" si="17"/>
        <v>0</v>
      </c>
      <c r="BZ49" s="25">
        <f t="shared" si="17"/>
        <v>687539.24</v>
      </c>
      <c r="CA49" s="25">
        <f t="shared" si="17"/>
        <v>6958674.9699999997</v>
      </c>
      <c r="CB49" s="25">
        <f t="shared" si="17"/>
        <v>14169487.5</v>
      </c>
      <c r="CC49" s="25">
        <f t="shared" si="17"/>
        <v>14504433</v>
      </c>
      <c r="CD49" s="45"/>
      <c r="CE49" s="25">
        <f t="shared" si="17"/>
        <v>5828577</v>
      </c>
      <c r="CF49" s="25">
        <f t="shared" si="17"/>
        <v>5270885</v>
      </c>
      <c r="CG49" s="25">
        <f t="shared" si="17"/>
        <v>5148408</v>
      </c>
      <c r="CH49" s="25">
        <f t="shared" si="17"/>
        <v>6113004</v>
      </c>
      <c r="CI49" s="25">
        <f t="shared" si="17"/>
        <v>5949120</v>
      </c>
      <c r="CJ49" s="25">
        <f t="shared" si="17"/>
        <v>5526096</v>
      </c>
      <c r="CK49" s="25">
        <f t="shared" si="17"/>
        <v>5360438</v>
      </c>
      <c r="CL49" s="25">
        <f t="shared" si="17"/>
        <v>1319481.3700000001</v>
      </c>
      <c r="CM49" s="25">
        <f t="shared" si="17"/>
        <v>1173913.25</v>
      </c>
      <c r="CN49" s="25">
        <f t="shared" si="17"/>
        <v>55094.29</v>
      </c>
      <c r="CO49" s="25">
        <f t="shared" ref="CO49:DO49" si="18">SUM(CO45:CO48)</f>
        <v>5613.5</v>
      </c>
      <c r="CP49" s="25">
        <f t="shared" si="18"/>
        <v>831.73</v>
      </c>
      <c r="CQ49" s="25">
        <f t="shared" si="18"/>
        <v>1025.51</v>
      </c>
      <c r="CR49" s="25">
        <f t="shared" si="18"/>
        <v>943786.45000000007</v>
      </c>
      <c r="CS49" s="25">
        <f t="shared" si="18"/>
        <v>363521.69</v>
      </c>
      <c r="CT49" s="25">
        <f t="shared" si="18"/>
        <v>1021754.9</v>
      </c>
      <c r="CU49" s="25">
        <f t="shared" si="18"/>
        <v>774893.28</v>
      </c>
      <c r="CV49" s="25">
        <f t="shared" si="18"/>
        <v>824449.7</v>
      </c>
      <c r="CW49" s="25">
        <f t="shared" si="18"/>
        <v>862469.79</v>
      </c>
      <c r="CX49" s="25">
        <f t="shared" si="18"/>
        <v>662091.17999999993</v>
      </c>
      <c r="CY49" s="25">
        <f t="shared" si="18"/>
        <v>81288.67</v>
      </c>
      <c r="CZ49" s="25">
        <f t="shared" si="18"/>
        <v>984394.32</v>
      </c>
      <c r="DA49" s="25">
        <f t="shared" si="18"/>
        <v>10065616</v>
      </c>
      <c r="DB49" s="45"/>
      <c r="DC49" s="25">
        <f t="shared" si="18"/>
        <v>3293743</v>
      </c>
      <c r="DD49" s="25">
        <f t="shared" si="18"/>
        <v>3109006</v>
      </c>
      <c r="DE49" s="25">
        <f t="shared" si="18"/>
        <v>3826878</v>
      </c>
      <c r="DF49" s="25">
        <f t="shared" si="18"/>
        <v>3461955</v>
      </c>
      <c r="DG49" s="25">
        <f t="shared" si="18"/>
        <v>482374.15999999992</v>
      </c>
      <c r="DH49" s="25">
        <f t="shared" si="18"/>
        <v>454758.99</v>
      </c>
      <c r="DI49" s="25">
        <f t="shared" si="18"/>
        <v>0</v>
      </c>
      <c r="DJ49" s="25">
        <f t="shared" si="18"/>
        <v>0</v>
      </c>
      <c r="DK49" s="25">
        <f t="shared" si="18"/>
        <v>1234.8399999999999</v>
      </c>
      <c r="DL49" s="25">
        <f t="shared" si="18"/>
        <v>1234.8399999999999</v>
      </c>
      <c r="DM49" s="25">
        <f t="shared" si="18"/>
        <v>502648.69</v>
      </c>
      <c r="DN49" s="25">
        <f t="shared" si="18"/>
        <v>39546.869999999995</v>
      </c>
      <c r="DO49" s="25">
        <f t="shared" si="18"/>
        <v>133854.82999999999</v>
      </c>
      <c r="DP49" s="18"/>
      <c r="DQ49" s="25">
        <v>6039</v>
      </c>
      <c r="DR49" s="25">
        <v>82524</v>
      </c>
      <c r="DS49" s="25">
        <v>20910406</v>
      </c>
      <c r="DT49" s="25">
        <v>15146</v>
      </c>
      <c r="DU49" s="25">
        <v>1208279.1499999999</v>
      </c>
      <c r="DV49" s="25">
        <v>12961949</v>
      </c>
      <c r="DW49" s="25">
        <v>717083</v>
      </c>
      <c r="DX49" s="25">
        <v>839073</v>
      </c>
      <c r="DY49" s="25">
        <v>13486</v>
      </c>
      <c r="DZ49" s="25">
        <v>731090</v>
      </c>
      <c r="EA49" s="25">
        <v>834030</v>
      </c>
      <c r="EB49" s="25">
        <v>38004</v>
      </c>
      <c r="EC49" s="25">
        <v>314239</v>
      </c>
      <c r="ED49" s="25">
        <v>281647</v>
      </c>
      <c r="EE49" s="25">
        <v>6036</v>
      </c>
      <c r="EF49" s="25">
        <v>77941</v>
      </c>
      <c r="EG49" s="25">
        <f t="shared" ref="EG49:EV49" si="19">SUM(EG45:EG48)</f>
        <v>96291.59</v>
      </c>
      <c r="EH49" s="25">
        <f t="shared" si="19"/>
        <v>2780871</v>
      </c>
      <c r="EI49" s="25">
        <f t="shared" si="19"/>
        <v>2465632</v>
      </c>
      <c r="EJ49" s="25">
        <f t="shared" si="19"/>
        <v>46031285.390000001</v>
      </c>
      <c r="EK49" s="25">
        <f t="shared" si="19"/>
        <v>15410287.48</v>
      </c>
      <c r="EL49" s="25">
        <f t="shared" si="19"/>
        <v>43516665.75</v>
      </c>
      <c r="EM49" s="25">
        <f t="shared" si="19"/>
        <v>6929543.3999999994</v>
      </c>
      <c r="EN49" s="25">
        <f t="shared" si="19"/>
        <v>7791408.1299999999</v>
      </c>
      <c r="EO49" s="25">
        <f t="shared" si="19"/>
        <v>3866142.95</v>
      </c>
      <c r="EP49" s="25">
        <f t="shared" si="19"/>
        <v>37881927.339999996</v>
      </c>
      <c r="EQ49" s="25">
        <f t="shared" si="19"/>
        <v>17631373.530000001</v>
      </c>
      <c r="ER49" s="25">
        <f t="shared" si="19"/>
        <v>27613.67</v>
      </c>
      <c r="ES49" s="25">
        <f t="shared" si="19"/>
        <v>9853006.1499999985</v>
      </c>
      <c r="ET49" s="25">
        <f t="shared" si="19"/>
        <v>5973421.0199999996</v>
      </c>
      <c r="EU49" s="25">
        <f t="shared" si="19"/>
        <v>9226367.370000001</v>
      </c>
      <c r="EV49" s="25">
        <f t="shared" si="19"/>
        <v>10934448.609999999</v>
      </c>
      <c r="EW49" s="2"/>
    </row>
    <row r="50" spans="1:153" ht="12" customHeight="1">
      <c r="A50" s="18" t="s">
        <v>358</v>
      </c>
      <c r="B50" s="24">
        <v>5424</v>
      </c>
      <c r="C50" s="24">
        <v>5424</v>
      </c>
      <c r="D50" s="18" t="s">
        <v>4</v>
      </c>
      <c r="E50" s="24">
        <v>5417</v>
      </c>
      <c r="F50" s="25">
        <f>SUM(F21,F32,F38,F43,F49)</f>
        <v>17850</v>
      </c>
      <c r="G50" s="24">
        <v>3583</v>
      </c>
      <c r="H50" s="24">
        <v>540</v>
      </c>
      <c r="I50" s="24">
        <v>355</v>
      </c>
      <c r="J50" s="24">
        <v>1</v>
      </c>
      <c r="K50" s="24">
        <v>0</v>
      </c>
      <c r="L50" s="24" t="s">
        <v>4</v>
      </c>
      <c r="M50" s="26" t="s">
        <v>4</v>
      </c>
      <c r="N50" s="24">
        <v>2902</v>
      </c>
      <c r="O50" s="18" t="s">
        <v>4</v>
      </c>
      <c r="P50" s="24">
        <v>2866</v>
      </c>
      <c r="Q50" s="25">
        <f>SUM(Q21,Q32,Q38,Q43,Q49)</f>
        <v>2805</v>
      </c>
      <c r="R50" s="24">
        <v>1503</v>
      </c>
      <c r="S50" s="24">
        <v>110</v>
      </c>
      <c r="T50" s="24">
        <v>41</v>
      </c>
      <c r="U50" s="24">
        <v>1478</v>
      </c>
      <c r="V50" s="24">
        <v>300</v>
      </c>
      <c r="W50" s="24" t="s">
        <v>4</v>
      </c>
      <c r="X50" s="26" t="s">
        <v>4</v>
      </c>
      <c r="Y50" s="24">
        <v>201425449</v>
      </c>
      <c r="Z50" s="45"/>
      <c r="AA50" s="24">
        <v>168481212</v>
      </c>
      <c r="AB50" s="45"/>
      <c r="AC50" s="25">
        <f t="shared" ref="AC50:BH50" si="20">SUM(AC21,AC32,AC38,AC43,AC49)</f>
        <v>155930</v>
      </c>
      <c r="AD50" s="25">
        <f t="shared" si="20"/>
        <v>90269849534.009995</v>
      </c>
      <c r="AE50" s="25">
        <f t="shared" si="20"/>
        <v>86638149743.919998</v>
      </c>
      <c r="AF50" s="25">
        <f t="shared" si="20"/>
        <v>54632875924.449997</v>
      </c>
      <c r="AG50" s="25">
        <f t="shared" si="20"/>
        <v>28925496491.809998</v>
      </c>
      <c r="AH50" s="25">
        <f t="shared" si="20"/>
        <v>3003367884.3399997</v>
      </c>
      <c r="AI50" s="25">
        <f t="shared" si="20"/>
        <v>76409443.320000008</v>
      </c>
      <c r="AJ50" s="25">
        <f t="shared" si="20"/>
        <v>3631699781.6799998</v>
      </c>
      <c r="AK50" s="25">
        <f t="shared" si="20"/>
        <v>83313841508.050003</v>
      </c>
      <c r="AL50" s="25">
        <f t="shared" si="20"/>
        <v>38119846298.240005</v>
      </c>
      <c r="AM50" s="25">
        <f t="shared" si="20"/>
        <v>83386065737.080002</v>
      </c>
      <c r="AN50" s="25">
        <f t="shared" si="20"/>
        <v>61435640241.980003</v>
      </c>
      <c r="AO50" s="25">
        <f t="shared" si="20"/>
        <v>20634107812.409996</v>
      </c>
      <c r="AP50" s="25">
        <f t="shared" si="20"/>
        <v>2878965227.4699998</v>
      </c>
      <c r="AQ50" s="25">
        <f t="shared" si="20"/>
        <v>9162143435.1100006</v>
      </c>
      <c r="AR50" s="25">
        <f t="shared" si="20"/>
        <v>12228087772.25</v>
      </c>
      <c r="AS50" s="25">
        <f t="shared" si="20"/>
        <v>2949947877.0499997</v>
      </c>
      <c r="AT50" s="25">
        <f t="shared" si="20"/>
        <v>35434802</v>
      </c>
      <c r="AU50" s="25">
        <f t="shared" si="20"/>
        <v>6191399620.1499996</v>
      </c>
      <c r="AV50" s="25">
        <f t="shared" si="20"/>
        <v>7355553691.0900011</v>
      </c>
      <c r="AW50" s="25">
        <f t="shared" si="20"/>
        <v>5054785095.1499996</v>
      </c>
      <c r="AX50" s="25">
        <f t="shared" si="20"/>
        <v>392646484.54000002</v>
      </c>
      <c r="AY50" s="25">
        <f t="shared" si="20"/>
        <v>5447431579.6899996</v>
      </c>
      <c r="AZ50" s="25">
        <f t="shared" si="20"/>
        <v>10334165870.959999</v>
      </c>
      <c r="BA50" s="25">
        <f t="shared" si="20"/>
        <v>2906737385.29</v>
      </c>
      <c r="BB50" s="25">
        <f t="shared" si="20"/>
        <v>3262090655.8400002</v>
      </c>
      <c r="BC50" s="25">
        <f t="shared" si="20"/>
        <v>6453238709.6999998</v>
      </c>
      <c r="BD50" s="25">
        <f t="shared" si="20"/>
        <v>11900670289.390001</v>
      </c>
      <c r="BE50" s="25">
        <f t="shared" si="20"/>
        <v>848756722.96000004</v>
      </c>
      <c r="BF50" s="25">
        <f t="shared" si="20"/>
        <v>9284186771.4300003</v>
      </c>
      <c r="BG50" s="25">
        <f t="shared" si="20"/>
        <v>9580333950.0800018</v>
      </c>
      <c r="BH50" s="25">
        <f t="shared" si="20"/>
        <v>1919012012.5999999</v>
      </c>
      <c r="BI50" s="25">
        <f t="shared" ref="BI50:CN50" si="21">SUM(BI21,BI32,BI38,BI43,BI49)</f>
        <v>13733768951.07</v>
      </c>
      <c r="BJ50" s="25">
        <f t="shared" si="21"/>
        <v>7032527535.6599998</v>
      </c>
      <c r="BK50" s="25">
        <f t="shared" si="21"/>
        <v>865977470.31000006</v>
      </c>
      <c r="BL50" s="25">
        <f t="shared" si="21"/>
        <v>21632289457.07</v>
      </c>
      <c r="BM50" s="25">
        <f t="shared" si="21"/>
        <v>21824947.32</v>
      </c>
      <c r="BN50" s="25">
        <f t="shared" si="21"/>
        <v>234412984.47</v>
      </c>
      <c r="BO50" s="25">
        <f t="shared" si="21"/>
        <v>225788143.02000001</v>
      </c>
      <c r="BP50" s="25">
        <f t="shared" si="21"/>
        <v>26395572.34</v>
      </c>
      <c r="BQ50" s="25">
        <f t="shared" si="21"/>
        <v>338180787.61000007</v>
      </c>
      <c r="BR50" s="25">
        <f t="shared" si="21"/>
        <v>76814769.809999987</v>
      </c>
      <c r="BS50" s="25">
        <f t="shared" si="21"/>
        <v>86595739.899999991</v>
      </c>
      <c r="BT50" s="25">
        <f t="shared" si="21"/>
        <v>498038333.42000002</v>
      </c>
      <c r="BU50" s="25">
        <f t="shared" si="21"/>
        <v>9115885.4199999999</v>
      </c>
      <c r="BV50" s="25">
        <f t="shared" si="21"/>
        <v>156379809.73999998</v>
      </c>
      <c r="BW50" s="25">
        <f t="shared" si="21"/>
        <v>148525648.09</v>
      </c>
      <c r="BX50" s="25">
        <f t="shared" si="21"/>
        <v>10192399.600000001</v>
      </c>
      <c r="BY50" s="25">
        <f t="shared" si="21"/>
        <v>132491778.73</v>
      </c>
      <c r="BZ50" s="25">
        <f t="shared" si="21"/>
        <v>3260539.24</v>
      </c>
      <c r="CA50" s="25">
        <f t="shared" si="21"/>
        <v>177937561.19000003</v>
      </c>
      <c r="CB50" s="25">
        <f t="shared" si="21"/>
        <v>319564217.30000001</v>
      </c>
      <c r="CC50" s="25">
        <f t="shared" si="21"/>
        <v>171042954</v>
      </c>
      <c r="CD50" s="45"/>
      <c r="CE50" s="25">
        <f t="shared" si="21"/>
        <v>64380913</v>
      </c>
      <c r="CF50" s="25">
        <f t="shared" si="21"/>
        <v>56449580</v>
      </c>
      <c r="CG50" s="25">
        <f t="shared" si="21"/>
        <v>51870445</v>
      </c>
      <c r="CH50" s="25">
        <f t="shared" si="21"/>
        <v>71622403</v>
      </c>
      <c r="CI50" s="25">
        <f t="shared" si="21"/>
        <v>66514644</v>
      </c>
      <c r="CJ50" s="25">
        <f t="shared" si="21"/>
        <v>64606548</v>
      </c>
      <c r="CK50" s="25">
        <f t="shared" si="21"/>
        <v>60450426</v>
      </c>
      <c r="CL50" s="25">
        <f t="shared" si="21"/>
        <v>17870929.239999998</v>
      </c>
      <c r="CM50" s="25">
        <f t="shared" si="21"/>
        <v>14661438.75</v>
      </c>
      <c r="CN50" s="25">
        <f t="shared" si="21"/>
        <v>869284.03</v>
      </c>
      <c r="CO50" s="25">
        <f t="shared" ref="CO50:DO50" si="22">SUM(CO21,CO32,CO38,CO43,CO49)</f>
        <v>1691562.15</v>
      </c>
      <c r="CP50" s="25">
        <f t="shared" si="22"/>
        <v>10757.98</v>
      </c>
      <c r="CQ50" s="25">
        <f t="shared" si="22"/>
        <v>1853147.18</v>
      </c>
      <c r="CR50" s="25">
        <f t="shared" si="22"/>
        <v>13826950.560000001</v>
      </c>
      <c r="CS50" s="25">
        <f t="shared" si="22"/>
        <v>3557899.13</v>
      </c>
      <c r="CT50" s="25">
        <f t="shared" si="22"/>
        <v>12715208.280000001</v>
      </c>
      <c r="CU50" s="25">
        <f t="shared" si="22"/>
        <v>8472731.9900000002</v>
      </c>
      <c r="CV50" s="25">
        <f t="shared" si="22"/>
        <v>11630331.43</v>
      </c>
      <c r="CW50" s="25">
        <f t="shared" si="22"/>
        <v>12594836.170000002</v>
      </c>
      <c r="CX50" s="25">
        <f t="shared" si="22"/>
        <v>7089633.3300000001</v>
      </c>
      <c r="CY50" s="25">
        <f t="shared" si="22"/>
        <v>808240.38000000012</v>
      </c>
      <c r="CZ50" s="25">
        <f t="shared" si="22"/>
        <v>12623519.820000002</v>
      </c>
      <c r="DA50" s="25">
        <f t="shared" si="22"/>
        <v>112803960</v>
      </c>
      <c r="DB50" s="45"/>
      <c r="DC50" s="25">
        <f t="shared" si="22"/>
        <v>37535649</v>
      </c>
      <c r="DD50" s="25">
        <f t="shared" si="22"/>
        <v>34252330</v>
      </c>
      <c r="DE50" s="25">
        <f>SUM(DE21,DE32,DE38,DE43,DE49)</f>
        <v>45311664</v>
      </c>
      <c r="DF50" s="25">
        <f t="shared" si="22"/>
        <v>40881560</v>
      </c>
      <c r="DG50" s="25">
        <f t="shared" si="22"/>
        <v>6106422.6699999999</v>
      </c>
      <c r="DH50" s="25">
        <f t="shared" si="22"/>
        <v>4956581.2300000004</v>
      </c>
      <c r="DI50" s="25">
        <f t="shared" si="22"/>
        <v>40844.110000000008</v>
      </c>
      <c r="DJ50" s="25">
        <f t="shared" si="22"/>
        <v>27691.13</v>
      </c>
      <c r="DK50" s="25">
        <f t="shared" si="22"/>
        <v>43674.899999999994</v>
      </c>
      <c r="DL50" s="25">
        <f t="shared" si="22"/>
        <v>36588.78</v>
      </c>
      <c r="DM50" s="25">
        <f t="shared" si="22"/>
        <v>6393415.6799999997</v>
      </c>
      <c r="DN50" s="25">
        <f t="shared" si="22"/>
        <v>379344.06999999995</v>
      </c>
      <c r="DO50" s="25">
        <f t="shared" si="22"/>
        <v>1671979.2300000002</v>
      </c>
      <c r="DP50" s="18"/>
      <c r="DQ50" s="25">
        <v>75774</v>
      </c>
      <c r="DR50" s="25">
        <v>2212356</v>
      </c>
      <c r="DS50" s="25">
        <v>208702794</v>
      </c>
      <c r="DT50" s="25">
        <v>432922</v>
      </c>
      <c r="DU50" s="25">
        <v>25346101.609999999</v>
      </c>
      <c r="DV50" s="25">
        <v>312490484</v>
      </c>
      <c r="DW50" s="25">
        <v>15530054</v>
      </c>
      <c r="DX50" s="25">
        <v>17834797</v>
      </c>
      <c r="DY50" s="25">
        <v>172036</v>
      </c>
      <c r="DZ50" s="25">
        <v>16925428</v>
      </c>
      <c r="EA50" s="25">
        <v>17155855</v>
      </c>
      <c r="EB50" s="25">
        <v>979599</v>
      </c>
      <c r="EC50" s="25">
        <v>3692057</v>
      </c>
      <c r="ED50" s="25">
        <v>2832686</v>
      </c>
      <c r="EE50" s="25">
        <v>97358</v>
      </c>
      <c r="EF50" s="25">
        <v>879721</v>
      </c>
      <c r="EG50" s="25">
        <f t="shared" ref="EG50:EV50" si="23">SUM(EG21,EG32,EG38,EG43,EG49)</f>
        <v>8771919.7400000002</v>
      </c>
      <c r="EH50" s="25">
        <f t="shared" si="23"/>
        <v>24522213</v>
      </c>
      <c r="EI50" s="25">
        <f t="shared" si="23"/>
        <v>19185808</v>
      </c>
      <c r="EJ50" s="25">
        <f t="shared" si="23"/>
        <v>1203227673.8400002</v>
      </c>
      <c r="EK50" s="25">
        <f t="shared" si="23"/>
        <v>252479760.57000002</v>
      </c>
      <c r="EL50" s="25">
        <f t="shared" si="23"/>
        <v>1226973572.77</v>
      </c>
      <c r="EM50" s="25">
        <f t="shared" si="23"/>
        <v>692950373.94000006</v>
      </c>
      <c r="EN50" s="25">
        <f t="shared" si="23"/>
        <v>7271786.5100000026</v>
      </c>
      <c r="EO50" s="25">
        <f t="shared" si="23"/>
        <v>616162841.96000004</v>
      </c>
      <c r="EP50" s="25">
        <f t="shared" si="23"/>
        <v>-66739446.729999967</v>
      </c>
      <c r="EQ50" s="25">
        <f t="shared" si="23"/>
        <v>406801614.74000001</v>
      </c>
      <c r="ER50" s="25">
        <f t="shared" si="23"/>
        <v>979966.41</v>
      </c>
      <c r="ES50" s="25">
        <f t="shared" si="23"/>
        <v>52035492.879999995</v>
      </c>
      <c r="ET50" s="25">
        <f t="shared" si="23"/>
        <v>530569813.70999998</v>
      </c>
      <c r="EU50" s="25">
        <f t="shared" si="23"/>
        <v>27716575.600000001</v>
      </c>
      <c r="EV50" s="25">
        <f t="shared" si="23"/>
        <v>72009939.610000014</v>
      </c>
      <c r="EW50" s="2"/>
    </row>
    <row r="52" spans="1:153">
      <c r="A52" s="27" t="s">
        <v>359</v>
      </c>
    </row>
    <row r="53" spans="1:153">
      <c r="A53" s="28" t="s">
        <v>360</v>
      </c>
    </row>
    <row r="54" spans="1:153">
      <c r="A54" s="28" t="s">
        <v>361</v>
      </c>
    </row>
    <row r="55" spans="1:153">
      <c r="A55" t="s">
        <v>362</v>
      </c>
    </row>
  </sheetData>
  <mergeCells count="160">
    <mergeCell ref="Z14:Z50"/>
    <mergeCell ref="AB14:AB50"/>
    <mergeCell ref="CD14:CD50"/>
    <mergeCell ref="DB14:DB50"/>
    <mergeCell ref="A13:H13"/>
    <mergeCell ref="A22:H22"/>
    <mergeCell ref="A33:H33"/>
    <mergeCell ref="A39:H39"/>
    <mergeCell ref="A44:H44"/>
    <mergeCell ref="EE9:EE10"/>
    <mergeCell ref="EF9:EF10"/>
    <mergeCell ref="EG9:EG10"/>
    <mergeCell ref="EH9:EH10"/>
    <mergeCell ref="DJ9:DJ10"/>
    <mergeCell ref="DK9:DK10"/>
    <mergeCell ref="DL9:DL10"/>
    <mergeCell ref="DM9:DM10"/>
    <mergeCell ref="DQ9:DQ10"/>
    <mergeCell ref="DR9:DR10"/>
    <mergeCell ref="DA9:DA10"/>
    <mergeCell ref="DB9:DB10"/>
    <mergeCell ref="DC9:DC10"/>
    <mergeCell ref="DD9:DD10"/>
    <mergeCell ref="DE9:DE10"/>
    <mergeCell ref="CR9:CR10"/>
    <mergeCell ref="CS9:CS10"/>
    <mergeCell ref="CT9:CT10"/>
    <mergeCell ref="CY8:CY10"/>
    <mergeCell ref="CZ8:CZ10"/>
    <mergeCell ref="DA8:DB8"/>
    <mergeCell ref="CC8:CD8"/>
    <mergeCell ref="BQ9:BS9"/>
    <mergeCell ref="BT9:BT10"/>
    <mergeCell ref="BU9:BX9"/>
    <mergeCell ref="BY9:CA9"/>
    <mergeCell ref="CU9:CU10"/>
    <mergeCell ref="CV9:CV10"/>
    <mergeCell ref="CW9:CW10"/>
    <mergeCell ref="CL9:CL10"/>
    <mergeCell ref="CM9:CM10"/>
    <mergeCell ref="CN9:CN10"/>
    <mergeCell ref="CO9:CO10"/>
    <mergeCell ref="CP9:CP10"/>
    <mergeCell ref="CQ9:CQ10"/>
    <mergeCell ref="CE8:CG8"/>
    <mergeCell ref="CH8:CK8"/>
    <mergeCell ref="CL8:CX8"/>
    <mergeCell ref="CH9:CH10"/>
    <mergeCell ref="CI9:CI10"/>
    <mergeCell ref="CJ9:CJ10"/>
    <mergeCell ref="CK9:CK10"/>
    <mergeCell ref="CX9:CX10"/>
    <mergeCell ref="BE9:BH9"/>
    <mergeCell ref="BI9:BK9"/>
    <mergeCell ref="BL9:BL10"/>
    <mergeCell ref="BM9:BP9"/>
    <mergeCell ref="BC8:BC10"/>
    <mergeCell ref="BD8:BD10"/>
    <mergeCell ref="BE8:BL8"/>
    <mergeCell ref="BM8:BT8"/>
    <mergeCell ref="BU8:CB8"/>
    <mergeCell ref="EV8:EV10"/>
    <mergeCell ref="C9:C10"/>
    <mergeCell ref="D9:D10"/>
    <mergeCell ref="E9:E10"/>
    <mergeCell ref="F9:F10"/>
    <mergeCell ref="G9:I9"/>
    <mergeCell ref="J9:L9"/>
    <mergeCell ref="M9:M10"/>
    <mergeCell ref="N9:N10"/>
    <mergeCell ref="O9:O10"/>
    <mergeCell ref="EP8:EP10"/>
    <mergeCell ref="EQ8:EQ10"/>
    <mergeCell ref="ER8:ER10"/>
    <mergeCell ref="ES8:ES10"/>
    <mergeCell ref="ET8:ET10"/>
    <mergeCell ref="EU8:EU10"/>
    <mergeCell ref="EH8:EJ8"/>
    <mergeCell ref="EK8:EK10"/>
    <mergeCell ref="CB9:CB10"/>
    <mergeCell ref="CC9:CC10"/>
    <mergeCell ref="CD9:CD10"/>
    <mergeCell ref="CE9:CE10"/>
    <mergeCell ref="CF9:CF10"/>
    <mergeCell ref="CG9:CG10"/>
    <mergeCell ref="EL8:EL10"/>
    <mergeCell ref="EM8:EM10"/>
    <mergeCell ref="EN8:EN10"/>
    <mergeCell ref="EO8:EO10"/>
    <mergeCell ref="DQ8:DS8"/>
    <mergeCell ref="DT8:DV8"/>
    <mergeCell ref="DW8:DY8"/>
    <mergeCell ref="DZ8:EB8"/>
    <mergeCell ref="EC8:EE8"/>
    <mergeCell ref="EF8:EG8"/>
    <mergeCell ref="EI9:EI10"/>
    <mergeCell ref="EJ9:EJ10"/>
    <mergeCell ref="DY9:DY10"/>
    <mergeCell ref="DZ9:DZ10"/>
    <mergeCell ref="EA9:EA10"/>
    <mergeCell ref="EB9:EB10"/>
    <mergeCell ref="EC9:EC10"/>
    <mergeCell ref="ED9:ED10"/>
    <mergeCell ref="DS9:DS10"/>
    <mergeCell ref="DT9:DT10"/>
    <mergeCell ref="DU9:DU10"/>
    <mergeCell ref="DV9:DV10"/>
    <mergeCell ref="DW9:DW10"/>
    <mergeCell ref="DX9:DX10"/>
    <mergeCell ref="DC8:DD8"/>
    <mergeCell ref="DE8:DF8"/>
    <mergeCell ref="DG8:DM8"/>
    <mergeCell ref="DN8:DN10"/>
    <mergeCell ref="DO8:DO10"/>
    <mergeCell ref="DP8:DP10"/>
    <mergeCell ref="DF9:DF10"/>
    <mergeCell ref="DG9:DG10"/>
    <mergeCell ref="DH9:DH10"/>
    <mergeCell ref="DI9:DI10"/>
    <mergeCell ref="Y8:AB8"/>
    <mergeCell ref="AC8:AC10"/>
    <mergeCell ref="AD8:AJ8"/>
    <mergeCell ref="AK8:AK10"/>
    <mergeCell ref="AL8:AL10"/>
    <mergeCell ref="AM8:BB8"/>
    <mergeCell ref="AM9:AM10"/>
    <mergeCell ref="AN9:AV9"/>
    <mergeCell ref="AW9:AY9"/>
    <mergeCell ref="AZ9:AZ10"/>
    <mergeCell ref="Y9:Z9"/>
    <mergeCell ref="AA9:AB9"/>
    <mergeCell ref="AD9:AD10"/>
    <mergeCell ref="AE9:AI9"/>
    <mergeCell ref="AJ9:AJ10"/>
    <mergeCell ref="BA9:BA10"/>
    <mergeCell ref="BB9:BB10"/>
    <mergeCell ref="A8:A10"/>
    <mergeCell ref="B8:B10"/>
    <mergeCell ref="C8:F8"/>
    <mergeCell ref="G8:M8"/>
    <mergeCell ref="N8:Q8"/>
    <mergeCell ref="R8:X8"/>
    <mergeCell ref="P9:P10"/>
    <mergeCell ref="Q9:Q10"/>
    <mergeCell ref="R9:T9"/>
    <mergeCell ref="U9:W9"/>
    <mergeCell ref="X9:X10"/>
    <mergeCell ref="B7:AC7"/>
    <mergeCell ref="AD7:CB7"/>
    <mergeCell ref="CC7:CZ7"/>
    <mergeCell ref="DA7:DO7"/>
    <mergeCell ref="DP7:EJ7"/>
    <mergeCell ref="EK7:EV7"/>
    <mergeCell ref="A1:N1"/>
    <mergeCell ref="A2:N2"/>
    <mergeCell ref="A3:N3"/>
    <mergeCell ref="A4:N4"/>
    <mergeCell ref="A5:N5"/>
    <mergeCell ref="A6:G6"/>
    <mergeCell ref="H6:N6"/>
  </mergeCells>
  <pageMargins left="0" right="0" top="0" bottom="0" header="0.5" footer="0.5"/>
  <pageSetup pageOrder="overThenDown"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4BDEEF99D212469DD5CBAE3676930B" ma:contentTypeVersion="15" ma:contentTypeDescription="Crie um novo documento." ma:contentTypeScope="" ma:versionID="ab08ec8871955bb65e88bcb658a2711a">
  <xsd:schema xmlns:xsd="http://www.w3.org/2001/XMLSchema" xmlns:xs="http://www.w3.org/2001/XMLSchema" xmlns:p="http://schemas.microsoft.com/office/2006/metadata/properties" xmlns:ns2="21441324-80bd-4496-af88-aea3a97193ac" xmlns:ns3="c886050a-9ad4-40b4-a6a1-233234e508b0" targetNamespace="http://schemas.microsoft.com/office/2006/metadata/properties" ma:root="true" ma:fieldsID="2bf1ae4c5eb403d1529f7fdc9759ee18" ns2:_="" ns3:_="">
    <xsd:import namespace="21441324-80bd-4496-af88-aea3a97193ac"/>
    <xsd:import namespace="c886050a-9ad4-40b4-a6a1-233234e50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41324-80bd-4496-af88-aea3a9719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d7c703-4c59-4b94-8590-81cf4c396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6050a-9ad4-40b4-a6a1-233234e508b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19d3c6a-3fd2-4039-97d2-f7d4d8916ead}" ma:internalName="TaxCatchAll" ma:showField="CatchAllData" ma:web="c886050a-9ad4-40b4-a6a1-233234e508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441324-80bd-4496-af88-aea3a97193ac">
      <Terms xmlns="http://schemas.microsoft.com/office/infopath/2007/PartnerControls"/>
    </lcf76f155ced4ddcb4097134ff3c332f>
    <TaxCatchAll xmlns="c886050a-9ad4-40b4-a6a1-233234e508b0" xsi:nil="true"/>
  </documentManagement>
</p:properties>
</file>

<file path=customXml/itemProps1.xml><?xml version="1.0" encoding="utf-8"?>
<ds:datastoreItem xmlns:ds="http://schemas.openxmlformats.org/officeDocument/2006/customXml" ds:itemID="{22A6C799-F1AD-40D2-BD7D-E827A44A5FF5}"/>
</file>

<file path=customXml/itemProps2.xml><?xml version="1.0" encoding="utf-8"?>
<ds:datastoreItem xmlns:ds="http://schemas.openxmlformats.org/officeDocument/2006/customXml" ds:itemID="{F6AA0B70-FD2C-4A61-8A41-8AA02835FB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1750A-DF85-4EBF-BEEA-F902102862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Resumo Inf. Estado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Almeida Ferreira</cp:lastModifiedBy>
  <cp:revision/>
  <dcterms:created xsi:type="dcterms:W3CDTF">2023-12-15T17:33:52Z</dcterms:created>
  <dcterms:modified xsi:type="dcterms:W3CDTF">2024-02-06T13:38:39Z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0x010100214BDEEF99D212469DD5CBAE3676930B</vt:lpwstr>
  </property>
</Properties>
</file>